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ROYECTS\AUTOS_MX\"/>
    </mc:Choice>
  </mc:AlternateContent>
  <xr:revisionPtr revIDLastSave="0" documentId="13_ncr:1_{D5627568-761C-4827-B57D-AF3903C2B973}" xr6:coauthVersionLast="47" xr6:coauthVersionMax="47" xr10:uidLastSave="{00000000-0000-0000-0000-000000000000}"/>
  <bookViews>
    <workbookView xWindow="-108" yWindow="-108" windowWidth="23256" windowHeight="12456" xr2:uid="{0EABEA15-21E8-41C8-A0EB-9125BAA924E6}"/>
  </bookViews>
  <sheets>
    <sheet name="dim_vehiculo" sheetId="1" r:id="rId1"/>
  </sheets>
  <definedNames>
    <definedName name="_xlnm._FilterDatabase" localSheetId="0" hidden="1">dim_vehiculo!$A$1:$N$467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62" i="1" l="1"/>
  <c r="I462" i="1" a="1"/>
  <c r="H463" i="1"/>
  <c r="I463" i="1" a="1"/>
  <c r="H464" i="1"/>
  <c r="I464" i="1" a="1"/>
  <c r="H465" i="1"/>
  <c r="I465" i="1" a="1"/>
  <c r="H466" i="1"/>
  <c r="I466" i="1" a="1"/>
  <c r="H467" i="1"/>
  <c r="I467" i="1" a="1"/>
  <c r="H442" i="1"/>
  <c r="I442" i="1" a="1"/>
  <c r="H443" i="1"/>
  <c r="I443" i="1" a="1"/>
  <c r="H444" i="1"/>
  <c r="I444" i="1" a="1"/>
  <c r="H445" i="1"/>
  <c r="I445" i="1" a="1"/>
  <c r="H446" i="1"/>
  <c r="I446" i="1" a="1"/>
  <c r="H447" i="1"/>
  <c r="I447" i="1" a="1"/>
  <c r="H448" i="1"/>
  <c r="I448" i="1" a="1"/>
  <c r="H449" i="1"/>
  <c r="I449" i="1" a="1"/>
  <c r="H450" i="1"/>
  <c r="I450" i="1" a="1"/>
  <c r="H451" i="1"/>
  <c r="I451" i="1" a="1"/>
  <c r="H452" i="1"/>
  <c r="I452" i="1" a="1"/>
  <c r="H453" i="1"/>
  <c r="I453" i="1" a="1"/>
  <c r="H454" i="1"/>
  <c r="I454" i="1" a="1"/>
  <c r="H455" i="1"/>
  <c r="I455" i="1" a="1"/>
  <c r="H456" i="1"/>
  <c r="I456" i="1" a="1"/>
  <c r="H457" i="1"/>
  <c r="I457" i="1" a="1"/>
  <c r="H458" i="1"/>
  <c r="I458" i="1" a="1"/>
  <c r="H459" i="1"/>
  <c r="I459" i="1" a="1"/>
  <c r="H460" i="1"/>
  <c r="I460" i="1" a="1"/>
  <c r="H461" i="1"/>
  <c r="I461" i="1" a="1"/>
  <c r="H435" i="1"/>
  <c r="I435" i="1" a="1"/>
  <c r="H436" i="1"/>
  <c r="I436" i="1" a="1"/>
  <c r="H437" i="1"/>
  <c r="I437" i="1" a="1"/>
  <c r="H438" i="1"/>
  <c r="I438" i="1" a="1"/>
  <c r="H439" i="1"/>
  <c r="I439" i="1" a="1"/>
  <c r="H440" i="1"/>
  <c r="I440" i="1" a="1"/>
  <c r="H441" i="1"/>
  <c r="I441" i="1" a="1"/>
  <c r="H420" i="1"/>
  <c r="I420" i="1" a="1"/>
  <c r="H421" i="1"/>
  <c r="I421" i="1" a="1"/>
  <c r="H422" i="1"/>
  <c r="I422" i="1" a="1"/>
  <c r="H423" i="1"/>
  <c r="I423" i="1" a="1"/>
  <c r="H424" i="1"/>
  <c r="I424" i="1" a="1"/>
  <c r="H425" i="1"/>
  <c r="I425" i="1" a="1"/>
  <c r="H426" i="1"/>
  <c r="I426" i="1" a="1"/>
  <c r="H427" i="1"/>
  <c r="I427" i="1" a="1"/>
  <c r="H428" i="1"/>
  <c r="I428" i="1" a="1"/>
  <c r="H429" i="1"/>
  <c r="I429" i="1" a="1"/>
  <c r="H430" i="1"/>
  <c r="I430" i="1" a="1"/>
  <c r="H431" i="1"/>
  <c r="I431" i="1" a="1"/>
  <c r="H432" i="1"/>
  <c r="I432" i="1" a="1"/>
  <c r="H433" i="1"/>
  <c r="I433" i="1" a="1"/>
  <c r="H434" i="1"/>
  <c r="I434" i="1" a="1"/>
  <c r="H415" i="1"/>
  <c r="I415" i="1" a="1"/>
  <c r="H416" i="1"/>
  <c r="I416" i="1" a="1"/>
  <c r="H417" i="1"/>
  <c r="I417" i="1" a="1"/>
  <c r="H418" i="1"/>
  <c r="I418" i="1" a="1"/>
  <c r="H419" i="1"/>
  <c r="I419" i="1" a="1"/>
  <c r="H400" i="1"/>
  <c r="I400" i="1" a="1"/>
  <c r="H401" i="1"/>
  <c r="I401" i="1" a="1"/>
  <c r="H402" i="1"/>
  <c r="I402" i="1" a="1"/>
  <c r="H403" i="1"/>
  <c r="I403" i="1" a="1"/>
  <c r="H404" i="1"/>
  <c r="I404" i="1" a="1"/>
  <c r="H405" i="1"/>
  <c r="I405" i="1" a="1"/>
  <c r="H406" i="1"/>
  <c r="I406" i="1" a="1"/>
  <c r="H407" i="1"/>
  <c r="I407" i="1" a="1"/>
  <c r="H408" i="1"/>
  <c r="I408" i="1" a="1"/>
  <c r="H409" i="1"/>
  <c r="I409" i="1" a="1"/>
  <c r="H410" i="1"/>
  <c r="I410" i="1" a="1"/>
  <c r="H411" i="1"/>
  <c r="I411" i="1" a="1"/>
  <c r="H412" i="1"/>
  <c r="I412" i="1" a="1"/>
  <c r="H413" i="1"/>
  <c r="I413" i="1" a="1"/>
  <c r="H414" i="1"/>
  <c r="I414" i="1" a="1"/>
  <c r="H369" i="1"/>
  <c r="I369" i="1" a="1"/>
  <c r="H370" i="1"/>
  <c r="I370" i="1" a="1"/>
  <c r="H371" i="1"/>
  <c r="I371" i="1" a="1"/>
  <c r="H372" i="1"/>
  <c r="I372" i="1" a="1"/>
  <c r="H373" i="1"/>
  <c r="I373" i="1" a="1"/>
  <c r="H374" i="1"/>
  <c r="I374" i="1" a="1"/>
  <c r="H375" i="1"/>
  <c r="I375" i="1" a="1"/>
  <c r="H376" i="1"/>
  <c r="I376" i="1" a="1"/>
  <c r="H377" i="1"/>
  <c r="I377" i="1" a="1"/>
  <c r="H378" i="1"/>
  <c r="I378" i="1" a="1"/>
  <c r="H379" i="1"/>
  <c r="I379" i="1" a="1"/>
  <c r="H380" i="1"/>
  <c r="I380" i="1" a="1"/>
  <c r="H381" i="1"/>
  <c r="I381" i="1" a="1"/>
  <c r="H382" i="1"/>
  <c r="I382" i="1" a="1"/>
  <c r="H383" i="1"/>
  <c r="I383" i="1" a="1"/>
  <c r="H384" i="1"/>
  <c r="I384" i="1" a="1"/>
  <c r="H385" i="1"/>
  <c r="I385" i="1" a="1"/>
  <c r="H386" i="1"/>
  <c r="I386" i="1" a="1"/>
  <c r="H387" i="1"/>
  <c r="I387" i="1" a="1"/>
  <c r="H388" i="1"/>
  <c r="I388" i="1" a="1"/>
  <c r="H389" i="1"/>
  <c r="I389" i="1" a="1"/>
  <c r="H390" i="1"/>
  <c r="I390" i="1" a="1"/>
  <c r="H391" i="1"/>
  <c r="I391" i="1" a="1"/>
  <c r="H392" i="1"/>
  <c r="I392" i="1" a="1"/>
  <c r="H393" i="1"/>
  <c r="I393" i="1" a="1"/>
  <c r="H394" i="1"/>
  <c r="I394" i="1" a="1"/>
  <c r="H395" i="1"/>
  <c r="I395" i="1" a="1"/>
  <c r="H396" i="1"/>
  <c r="I396" i="1" a="1"/>
  <c r="H397" i="1"/>
  <c r="I397" i="1" a="1"/>
  <c r="H398" i="1"/>
  <c r="I398" i="1" a="1"/>
  <c r="H399" i="1"/>
  <c r="I399" i="1" a="1"/>
  <c r="H362" i="1"/>
  <c r="I362" i="1" a="1"/>
  <c r="H363" i="1"/>
  <c r="I363" i="1" a="1"/>
  <c r="H364" i="1"/>
  <c r="I364" i="1" a="1"/>
  <c r="H365" i="1"/>
  <c r="I365" i="1" a="1"/>
  <c r="H366" i="1"/>
  <c r="I366" i="1" a="1"/>
  <c r="H367" i="1"/>
  <c r="I367" i="1" a="1"/>
  <c r="H368" i="1"/>
  <c r="I368" i="1" a="1"/>
  <c r="H345" i="1"/>
  <c r="I345" i="1" a="1"/>
  <c r="H346" i="1"/>
  <c r="I346" i="1" a="1"/>
  <c r="H347" i="1"/>
  <c r="I347" i="1" a="1"/>
  <c r="H348" i="1"/>
  <c r="I348" i="1" a="1"/>
  <c r="H349" i="1"/>
  <c r="I349" i="1" a="1"/>
  <c r="H350" i="1"/>
  <c r="I350" i="1" a="1"/>
  <c r="H351" i="1"/>
  <c r="I351" i="1" a="1"/>
  <c r="H352" i="1"/>
  <c r="I352" i="1" a="1"/>
  <c r="H353" i="1"/>
  <c r="I353" i="1" a="1"/>
  <c r="H354" i="1"/>
  <c r="I354" i="1" a="1"/>
  <c r="H355" i="1"/>
  <c r="I355" i="1" a="1"/>
  <c r="H356" i="1"/>
  <c r="I356" i="1" a="1"/>
  <c r="H357" i="1"/>
  <c r="I357" i="1" a="1"/>
  <c r="H358" i="1"/>
  <c r="I358" i="1" a="1"/>
  <c r="H359" i="1"/>
  <c r="I359" i="1" a="1"/>
  <c r="H360" i="1"/>
  <c r="I360" i="1" a="1"/>
  <c r="H361" i="1"/>
  <c r="I361" i="1" a="1"/>
  <c r="H337" i="1"/>
  <c r="I337" i="1" a="1"/>
  <c r="H338" i="1"/>
  <c r="I338" i="1" a="1"/>
  <c r="H339" i="1"/>
  <c r="I339" i="1" a="1"/>
  <c r="H340" i="1"/>
  <c r="I340" i="1" a="1"/>
  <c r="H341" i="1"/>
  <c r="I341" i="1" a="1"/>
  <c r="H342" i="1"/>
  <c r="I342" i="1" a="1"/>
  <c r="H343" i="1"/>
  <c r="I343" i="1" a="1"/>
  <c r="H344" i="1"/>
  <c r="I344" i="1" a="1"/>
  <c r="H336" i="1"/>
  <c r="I336" i="1" a="1"/>
  <c r="H320" i="1"/>
  <c r="I320" i="1" a="1"/>
  <c r="H321" i="1"/>
  <c r="I321" i="1" a="1"/>
  <c r="H322" i="1"/>
  <c r="I322" i="1" a="1"/>
  <c r="H323" i="1"/>
  <c r="I323" i="1" a="1"/>
  <c r="H324" i="1"/>
  <c r="I324" i="1" a="1"/>
  <c r="H325" i="1"/>
  <c r="I325" i="1" a="1"/>
  <c r="H326" i="1"/>
  <c r="I326" i="1" a="1"/>
  <c r="H327" i="1"/>
  <c r="I327" i="1" a="1"/>
  <c r="H328" i="1"/>
  <c r="I328" i="1" a="1"/>
  <c r="H329" i="1"/>
  <c r="I329" i="1" a="1"/>
  <c r="H330" i="1"/>
  <c r="I330" i="1" a="1"/>
  <c r="H331" i="1"/>
  <c r="I331" i="1" a="1"/>
  <c r="H332" i="1"/>
  <c r="I332" i="1" a="1"/>
  <c r="H333" i="1"/>
  <c r="I333" i="1" a="1"/>
  <c r="H334" i="1"/>
  <c r="I334" i="1" a="1"/>
  <c r="H335" i="1"/>
  <c r="I335" i="1" a="1"/>
  <c r="H313" i="1"/>
  <c r="I313" i="1" a="1"/>
  <c r="H314" i="1"/>
  <c r="I314" i="1" a="1"/>
  <c r="H315" i="1"/>
  <c r="I315" i="1" a="1"/>
  <c r="H316" i="1"/>
  <c r="I316" i="1" a="1"/>
  <c r="H317" i="1"/>
  <c r="I317" i="1" a="1"/>
  <c r="H318" i="1"/>
  <c r="I318" i="1" a="1"/>
  <c r="H319" i="1"/>
  <c r="I319" i="1" a="1"/>
  <c r="H308" i="1"/>
  <c r="I308" i="1" a="1"/>
  <c r="H309" i="1"/>
  <c r="I309" i="1" a="1"/>
  <c r="H310" i="1"/>
  <c r="I310" i="1" a="1"/>
  <c r="H311" i="1"/>
  <c r="I311" i="1" a="1"/>
  <c r="H312" i="1"/>
  <c r="I312" i="1" a="1"/>
  <c r="H298" i="1"/>
  <c r="I298" i="1" a="1"/>
  <c r="H299" i="1"/>
  <c r="I299" i="1" a="1"/>
  <c r="H300" i="1"/>
  <c r="I300" i="1" a="1"/>
  <c r="H301" i="1"/>
  <c r="I301" i="1" a="1"/>
  <c r="H302" i="1"/>
  <c r="I302" i="1" a="1"/>
  <c r="H303" i="1"/>
  <c r="I303" i="1" a="1"/>
  <c r="H304" i="1"/>
  <c r="I304" i="1" a="1"/>
  <c r="H305" i="1"/>
  <c r="I305" i="1" a="1"/>
  <c r="H306" i="1"/>
  <c r="I306" i="1" a="1"/>
  <c r="H307" i="1"/>
  <c r="I307" i="1" a="1"/>
  <c r="H292" i="1"/>
  <c r="I292" i="1" a="1"/>
  <c r="H293" i="1"/>
  <c r="I293" i="1" a="1"/>
  <c r="H294" i="1"/>
  <c r="I294" i="1" a="1"/>
  <c r="H295" i="1"/>
  <c r="I295" i="1" a="1"/>
  <c r="H296" i="1"/>
  <c r="I296" i="1" a="1"/>
  <c r="H297" i="1"/>
  <c r="I297" i="1" a="1"/>
  <c r="H265" i="1"/>
  <c r="I265" i="1" a="1"/>
  <c r="H266" i="1"/>
  <c r="I266" i="1" a="1"/>
  <c r="H267" i="1"/>
  <c r="I267" i="1" a="1"/>
  <c r="H268" i="1"/>
  <c r="I268" i="1" a="1"/>
  <c r="H269" i="1"/>
  <c r="I269" i="1" a="1"/>
  <c r="H270" i="1"/>
  <c r="I270" i="1" a="1"/>
  <c r="H271" i="1"/>
  <c r="I271" i="1" a="1"/>
  <c r="H272" i="1"/>
  <c r="I272" i="1" a="1"/>
  <c r="H273" i="1"/>
  <c r="I273" i="1" a="1"/>
  <c r="H274" i="1"/>
  <c r="I274" i="1" a="1"/>
  <c r="H275" i="1"/>
  <c r="I275" i="1" a="1"/>
  <c r="H276" i="1"/>
  <c r="I276" i="1" a="1"/>
  <c r="H277" i="1"/>
  <c r="I277" i="1" a="1"/>
  <c r="H278" i="1"/>
  <c r="I278" i="1" a="1"/>
  <c r="H279" i="1"/>
  <c r="I279" i="1" a="1"/>
  <c r="H280" i="1"/>
  <c r="I280" i="1" a="1"/>
  <c r="H281" i="1"/>
  <c r="I281" i="1" a="1"/>
  <c r="H282" i="1"/>
  <c r="I282" i="1" a="1"/>
  <c r="H283" i="1"/>
  <c r="I283" i="1" a="1"/>
  <c r="H284" i="1"/>
  <c r="I284" i="1" a="1"/>
  <c r="H285" i="1"/>
  <c r="I285" i="1" a="1"/>
  <c r="H286" i="1"/>
  <c r="I286" i="1" a="1"/>
  <c r="H287" i="1"/>
  <c r="I287" i="1" a="1"/>
  <c r="H288" i="1"/>
  <c r="I288" i="1" a="1"/>
  <c r="H289" i="1"/>
  <c r="I289" i="1" a="1"/>
  <c r="H290" i="1"/>
  <c r="I290" i="1" a="1"/>
  <c r="H291" i="1"/>
  <c r="I291" i="1" a="1"/>
  <c r="H249" i="1"/>
  <c r="I249" i="1" a="1"/>
  <c r="H250" i="1"/>
  <c r="I250" i="1" a="1"/>
  <c r="H251" i="1"/>
  <c r="I251" i="1" a="1"/>
  <c r="H252" i="1"/>
  <c r="I252" i="1" a="1"/>
  <c r="H253" i="1"/>
  <c r="I253" i="1" a="1"/>
  <c r="H254" i="1"/>
  <c r="I254" i="1" a="1"/>
  <c r="H255" i="1"/>
  <c r="I255" i="1" a="1"/>
  <c r="H256" i="1"/>
  <c r="I256" i="1" a="1"/>
  <c r="H257" i="1"/>
  <c r="I257" i="1" a="1"/>
  <c r="H258" i="1"/>
  <c r="I258" i="1" a="1"/>
  <c r="H259" i="1"/>
  <c r="I259" i="1" a="1"/>
  <c r="H260" i="1"/>
  <c r="I260" i="1" a="1"/>
  <c r="H261" i="1"/>
  <c r="I261" i="1" a="1"/>
  <c r="H262" i="1"/>
  <c r="I262" i="1" a="1"/>
  <c r="H263" i="1"/>
  <c r="I263" i="1" a="1"/>
  <c r="H264" i="1"/>
  <c r="I264" i="1" a="1"/>
  <c r="I244" i="1" a="1"/>
  <c r="I245" i="1" a="1"/>
  <c r="I246" i="1" a="1"/>
  <c r="I247" i="1" a="1"/>
  <c r="I248" i="1" a="1"/>
  <c r="H244" i="1"/>
  <c r="H245" i="1"/>
  <c r="H246" i="1"/>
  <c r="H247" i="1"/>
  <c r="H248" i="1"/>
  <c r="H207" i="1"/>
  <c r="I207" i="1" a="1"/>
  <c r="H208" i="1"/>
  <c r="I208" i="1" a="1"/>
  <c r="H209" i="1"/>
  <c r="I209" i="1" a="1"/>
  <c r="H210" i="1"/>
  <c r="I210" i="1" a="1"/>
  <c r="H211" i="1"/>
  <c r="I211" i="1" a="1"/>
  <c r="H212" i="1"/>
  <c r="I212" i="1" a="1"/>
  <c r="H213" i="1"/>
  <c r="I213" i="1" a="1"/>
  <c r="H214" i="1"/>
  <c r="I214" i="1" a="1"/>
  <c r="H215" i="1"/>
  <c r="I215" i="1" a="1"/>
  <c r="H216" i="1"/>
  <c r="I216" i="1" a="1"/>
  <c r="H217" i="1"/>
  <c r="I217" i="1" a="1"/>
  <c r="H218" i="1"/>
  <c r="I218" i="1" a="1"/>
  <c r="H219" i="1"/>
  <c r="I219" i="1" a="1"/>
  <c r="H220" i="1"/>
  <c r="I220" i="1" a="1"/>
  <c r="H221" i="1"/>
  <c r="I221" i="1" a="1"/>
  <c r="H222" i="1"/>
  <c r="I222" i="1" a="1"/>
  <c r="H223" i="1"/>
  <c r="I223" i="1" a="1"/>
  <c r="H224" i="1"/>
  <c r="I224" i="1" a="1"/>
  <c r="H225" i="1"/>
  <c r="I225" i="1" a="1"/>
  <c r="H226" i="1"/>
  <c r="I226" i="1" a="1"/>
  <c r="H227" i="1"/>
  <c r="I227" i="1" a="1"/>
  <c r="H228" i="1"/>
  <c r="I228" i="1" a="1"/>
  <c r="H229" i="1"/>
  <c r="I229" i="1" a="1"/>
  <c r="H230" i="1"/>
  <c r="I230" i="1" a="1"/>
  <c r="H231" i="1"/>
  <c r="I231" i="1" a="1"/>
  <c r="H232" i="1"/>
  <c r="I232" i="1" a="1"/>
  <c r="H233" i="1"/>
  <c r="I233" i="1" a="1"/>
  <c r="H234" i="1"/>
  <c r="I234" i="1" a="1"/>
  <c r="H235" i="1"/>
  <c r="I235" i="1" a="1"/>
  <c r="H236" i="1"/>
  <c r="I236" i="1" a="1"/>
  <c r="H237" i="1"/>
  <c r="I237" i="1" a="1"/>
  <c r="H238" i="1"/>
  <c r="I238" i="1" a="1"/>
  <c r="H239" i="1"/>
  <c r="I239" i="1" a="1"/>
  <c r="H240" i="1"/>
  <c r="I240" i="1" a="1"/>
  <c r="H241" i="1"/>
  <c r="I241" i="1" a="1"/>
  <c r="H242" i="1"/>
  <c r="I242" i="1" a="1"/>
  <c r="H243" i="1"/>
  <c r="I243" i="1" a="1"/>
  <c r="H202" i="1"/>
  <c r="H203" i="1"/>
  <c r="H204" i="1"/>
  <c r="H205" i="1"/>
  <c r="H206" i="1"/>
  <c r="I202" i="1" a="1"/>
  <c r="I203" i="1" a="1"/>
  <c r="I204" i="1" a="1"/>
  <c r="I205" i="1" a="1"/>
  <c r="I206" i="1" a="1"/>
  <c r="H189" i="1"/>
  <c r="I189" i="1" a="1"/>
  <c r="H190" i="1"/>
  <c r="I190" i="1" a="1"/>
  <c r="H191" i="1"/>
  <c r="I191" i="1" a="1"/>
  <c r="H192" i="1"/>
  <c r="I192" i="1" a="1"/>
  <c r="H193" i="1"/>
  <c r="I193" i="1" a="1"/>
  <c r="H194" i="1"/>
  <c r="I194" i="1" a="1"/>
  <c r="H195" i="1"/>
  <c r="I195" i="1" a="1"/>
  <c r="H196" i="1"/>
  <c r="I196" i="1" a="1"/>
  <c r="H197" i="1"/>
  <c r="I197" i="1" a="1"/>
  <c r="H198" i="1"/>
  <c r="I198" i="1" a="1"/>
  <c r="H199" i="1"/>
  <c r="I199" i="1" a="1"/>
  <c r="H200" i="1"/>
  <c r="I200" i="1" a="1"/>
  <c r="H201" i="1"/>
  <c r="I201" i="1" a="1"/>
  <c r="I187" i="1" a="1"/>
  <c r="I188" i="1" a="1"/>
  <c r="H187" i="1"/>
  <c r="H188" i="1"/>
  <c r="I132" i="1" a="1"/>
  <c r="I133" i="1" a="1"/>
  <c r="I134" i="1" a="1"/>
  <c r="I135" i="1" a="1"/>
  <c r="I136" i="1" a="1"/>
  <c r="I137" i="1" a="1"/>
  <c r="I138" i="1" a="1"/>
  <c r="I139" i="1" a="1"/>
  <c r="I140" i="1" a="1"/>
  <c r="I141" i="1" a="1"/>
  <c r="I142" i="1" a="1"/>
  <c r="I143" i="1" a="1"/>
  <c r="I144" i="1" a="1"/>
  <c r="I145" i="1" a="1"/>
  <c r="I146" i="1" a="1"/>
  <c r="I147" i="1" a="1"/>
  <c r="I148" i="1" a="1"/>
  <c r="I149" i="1" a="1"/>
  <c r="I150" i="1" a="1"/>
  <c r="I151" i="1" a="1"/>
  <c r="I152" i="1" a="1"/>
  <c r="I153" i="1" a="1"/>
  <c r="I154" i="1" a="1"/>
  <c r="I155" i="1" a="1"/>
  <c r="I156" i="1" a="1"/>
  <c r="I157" i="1" a="1"/>
  <c r="I158" i="1" a="1"/>
  <c r="I159" i="1" a="1"/>
  <c r="I160" i="1" a="1"/>
  <c r="I161" i="1" a="1"/>
  <c r="I162" i="1" a="1"/>
  <c r="I163" i="1" a="1"/>
  <c r="I164" i="1" a="1"/>
  <c r="I165" i="1" a="1"/>
  <c r="I166" i="1" a="1"/>
  <c r="I167" i="1" a="1"/>
  <c r="I168" i="1" a="1"/>
  <c r="I169" i="1" a="1"/>
  <c r="I170" i="1" a="1"/>
  <c r="I171" i="1" a="1"/>
  <c r="I172" i="1" a="1"/>
  <c r="I173" i="1" a="1"/>
  <c r="I174" i="1" a="1"/>
  <c r="I175" i="1" a="1"/>
  <c r="I176" i="1" a="1"/>
  <c r="I177" i="1" a="1"/>
  <c r="I178" i="1" a="1"/>
  <c r="I179" i="1" a="1"/>
  <c r="I180" i="1" a="1"/>
  <c r="I181" i="1" a="1"/>
  <c r="I182" i="1" a="1"/>
  <c r="I183" i="1" a="1"/>
  <c r="I184" i="1" a="1"/>
  <c r="I185" i="1" a="1"/>
  <c r="I186" i="1" a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I104" i="1" a="1"/>
  <c r="I105" i="1" a="1"/>
  <c r="I106" i="1" a="1"/>
  <c r="I107" i="1" a="1"/>
  <c r="I108" i="1" a="1"/>
  <c r="I109" i="1" a="1"/>
  <c r="I110" i="1" a="1"/>
  <c r="I111" i="1" a="1"/>
  <c r="I112" i="1" a="1"/>
  <c r="I113" i="1" a="1"/>
  <c r="I114" i="1" a="1"/>
  <c r="I115" i="1" a="1"/>
  <c r="I116" i="1" a="1"/>
  <c r="I117" i="1" a="1"/>
  <c r="I118" i="1" a="1"/>
  <c r="I119" i="1" a="1"/>
  <c r="I120" i="1" a="1"/>
  <c r="I121" i="1" a="1"/>
  <c r="I122" i="1" a="1"/>
  <c r="I123" i="1" a="1"/>
  <c r="I124" i="1" a="1"/>
  <c r="I125" i="1" a="1"/>
  <c r="I126" i="1" a="1"/>
  <c r="I127" i="1" a="1"/>
  <c r="I128" i="1" a="1"/>
  <c r="I129" i="1" a="1"/>
  <c r="I130" i="1" a="1"/>
  <c r="I131" i="1" a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I100" i="1" a="1"/>
  <c r="I101" i="1" a="1"/>
  <c r="I102" i="1" a="1"/>
  <c r="I103" i="1" a="1"/>
  <c r="H100" i="1"/>
  <c r="H101" i="1"/>
  <c r="H102" i="1"/>
  <c r="H103" i="1"/>
  <c r="I99" i="1" a="1"/>
  <c r="H99" i="1"/>
  <c r="I98" i="1" a="1"/>
  <c r="H98" i="1"/>
  <c r="I97" i="1" a="1"/>
  <c r="H97" i="1"/>
  <c r="I96" i="1" a="1"/>
  <c r="H96" i="1"/>
  <c r="I95" i="1" a="1"/>
  <c r="H95" i="1"/>
  <c r="I94" i="1" a="1"/>
  <c r="H94" i="1"/>
  <c r="I93" i="1" a="1"/>
  <c r="H93" i="1"/>
  <c r="I92" i="1" a="1"/>
  <c r="H92" i="1"/>
  <c r="I91" i="1" a="1"/>
  <c r="H91" i="1"/>
  <c r="I90" i="1" a="1"/>
  <c r="H90" i="1"/>
  <c r="I89" i="1" a="1"/>
  <c r="H89" i="1"/>
  <c r="I88" i="1" a="1"/>
  <c r="H88" i="1"/>
  <c r="I87" i="1" a="1"/>
  <c r="H87" i="1"/>
  <c r="I86" i="1" a="1"/>
  <c r="H86" i="1"/>
  <c r="I78" i="1" a="1"/>
  <c r="I79" i="1" a="1"/>
  <c r="I80" i="1" a="1"/>
  <c r="I81" i="1" a="1"/>
  <c r="I82" i="1" a="1"/>
  <c r="I83" i="1" a="1"/>
  <c r="I84" i="1" a="1"/>
  <c r="I85" i="1" a="1"/>
  <c r="H78" i="1"/>
  <c r="H79" i="1"/>
  <c r="H80" i="1"/>
  <c r="H81" i="1"/>
  <c r="H82" i="1"/>
  <c r="H83" i="1"/>
  <c r="H84" i="1"/>
  <c r="H85" i="1"/>
  <c r="I72" i="1" a="1"/>
  <c r="I73" i="1" a="1"/>
  <c r="I74" i="1" a="1"/>
  <c r="I75" i="1" a="1"/>
  <c r="I76" i="1" a="1"/>
  <c r="I77" i="1" a="1"/>
  <c r="H72" i="1"/>
  <c r="H73" i="1"/>
  <c r="H74" i="1"/>
  <c r="H75" i="1"/>
  <c r="H76" i="1"/>
  <c r="H77" i="1"/>
  <c r="I70" i="1" a="1"/>
  <c r="I71" i="1" a="1"/>
  <c r="H70" i="1"/>
  <c r="H71" i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67" i="1" a="1"/>
  <c r="I68" i="1" a="1"/>
  <c r="I69" i="1" a="1"/>
  <c r="I2" i="1" a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<sst xmlns="http://schemas.openxmlformats.org/spreadsheetml/2006/main" count="2344" uniqueCount="490">
  <si>
    <t>U5 PLUS</t>
  </si>
  <si>
    <t>GASOLINA</t>
  </si>
  <si>
    <t>MT</t>
  </si>
  <si>
    <t>BJ30</t>
  </si>
  <si>
    <t>DCT</t>
  </si>
  <si>
    <t>CVT</t>
  </si>
  <si>
    <t>X55</t>
  </si>
  <si>
    <t>X35 CVT</t>
  </si>
  <si>
    <t>X35 MT</t>
  </si>
  <si>
    <t>BJ60</t>
  </si>
  <si>
    <t>AT</t>
  </si>
  <si>
    <t>BJ40P</t>
  </si>
  <si>
    <t>BJ40 PRO</t>
  </si>
  <si>
    <t>X75</t>
  </si>
  <si>
    <t>EU5</t>
  </si>
  <si>
    <t>ELÉCTRICO</t>
  </si>
  <si>
    <t>BJ30e 4x4</t>
  </si>
  <si>
    <t>HIBRIDO</t>
  </si>
  <si>
    <t>DHT</t>
  </si>
  <si>
    <t>BJ3Oe 4x2</t>
  </si>
  <si>
    <t>id_vehiculo</t>
  </si>
  <si>
    <t>marca</t>
  </si>
  <si>
    <t>modelo</t>
  </si>
  <si>
    <t>combustible_tipo</t>
  </si>
  <si>
    <t>unidad_medidad</t>
  </si>
  <si>
    <t>costo_unitario_insumo</t>
  </si>
  <si>
    <t>BAIC</t>
  </si>
  <si>
    <t>rendimiento_ciudad</t>
  </si>
  <si>
    <t>rendimiento_carretera</t>
  </si>
  <si>
    <t>rendimiento_combinado</t>
  </si>
  <si>
    <t>co2_ciudad_gkm</t>
  </si>
  <si>
    <t>co2_carretera_gkm</t>
  </si>
  <si>
    <t>co2_combinado_gkm</t>
  </si>
  <si>
    <t>ADX A SPEC</t>
  </si>
  <si>
    <t>4L</t>
  </si>
  <si>
    <t>ADX ADVANCE</t>
  </si>
  <si>
    <t>INTEGRA TYPE S</t>
  </si>
  <si>
    <t>INTEGRA INTEGRA</t>
  </si>
  <si>
    <t>INTEGRA A SPEC</t>
  </si>
  <si>
    <t>MDX TYPE S</t>
  </si>
  <si>
    <t>6V</t>
  </si>
  <si>
    <t>MDX ADVANCE</t>
  </si>
  <si>
    <t>RDX ADVANCE</t>
  </si>
  <si>
    <t>RDX A SPEC</t>
  </si>
  <si>
    <t>TLX TYPE S</t>
  </si>
  <si>
    <t>TLX ADVANCE</t>
  </si>
  <si>
    <t>numero_cilindros</t>
  </si>
  <si>
    <t>tipo_transmision</t>
  </si>
  <si>
    <t>ACURA</t>
  </si>
  <si>
    <t>AUDI</t>
  </si>
  <si>
    <t>Q8 TFSIe (Plug-in Hybrid)</t>
  </si>
  <si>
    <t>Q8 60 TFSIe (Plug-in Hybrid)</t>
  </si>
  <si>
    <t>A8 55 TFSI (Mild Hybrid)</t>
  </si>
  <si>
    <t>S6 TFSI (Mild Hybrid)</t>
  </si>
  <si>
    <t>S7 Sportback TFSI (Mild Hybrid)</t>
  </si>
  <si>
    <t>Q7 55 TFSI (Mild Hybrid)</t>
  </si>
  <si>
    <t>Q8 55 TFSI (Mild Hybrid)</t>
  </si>
  <si>
    <t>DIESEL</t>
  </si>
  <si>
    <t>A8 LWB 60 TFSI (Mild Hybrid)</t>
  </si>
  <si>
    <t>RS 7 Sportback Performance (Mild Hybrid)</t>
  </si>
  <si>
    <t>S8 TFSI (Mild Hybrid)</t>
  </si>
  <si>
    <t>SQ8 TFSI</t>
  </si>
  <si>
    <t>RS 6 Avant Performance (Mild Hybrid)</t>
  </si>
  <si>
    <t>SQ7 TFSI</t>
  </si>
  <si>
    <t>RS Q8 (Mild Hybrid)</t>
  </si>
  <si>
    <t>Q3 40 TFSI</t>
  </si>
  <si>
    <t>Q3 TFSI</t>
  </si>
  <si>
    <t>Q3 Sportback 40 TFSI</t>
  </si>
  <si>
    <t>Q3 Sportback TFSI</t>
  </si>
  <si>
    <t>A6 55 TFSI (Mild Hybrid)</t>
  </si>
  <si>
    <t>A7 Sportback 55 TFSI (Mild Hybrid)</t>
  </si>
  <si>
    <t>RS 3 Sedán</t>
  </si>
  <si>
    <t>RS 3 Sportback</t>
  </si>
  <si>
    <t>S5 Sedán</t>
  </si>
  <si>
    <t>Q7 TFSIe (Plug-in Hybrid)</t>
  </si>
  <si>
    <t>Q7 55 TFSIe (Plug-in Hybrid)</t>
  </si>
  <si>
    <t>A1 Sportback 30 TFSI</t>
  </si>
  <si>
    <t>Q2 35 TFSI</t>
  </si>
  <si>
    <t>A3 Sedán TFSI</t>
  </si>
  <si>
    <t>A3 Sportback TFSI</t>
  </si>
  <si>
    <t>A6 40 TFSI (Mild Hybrid)</t>
  </si>
  <si>
    <t>A6 Sedán TFSI</t>
  </si>
  <si>
    <t>A5 Sedán TFSI</t>
  </si>
  <si>
    <t>Q3 35 TFSI</t>
  </si>
  <si>
    <t>Q3 Sportback 35 TFSI</t>
  </si>
  <si>
    <t>A6 45 TFSI (Mild Hybrid)</t>
  </si>
  <si>
    <t>A7 Sportback 45 TFSI (Mild Hybrid)</t>
  </si>
  <si>
    <t>S3 Sedán</t>
  </si>
  <si>
    <t>S3 Sportback</t>
  </si>
  <si>
    <t>N/A</t>
  </si>
  <si>
    <t>AVATR 11 AWD</t>
  </si>
  <si>
    <t>AVATR 11 RWD</t>
  </si>
  <si>
    <t>AVATR</t>
  </si>
  <si>
    <t>BENTLY</t>
  </si>
  <si>
    <t>Continental GT V8 PHEV</t>
  </si>
  <si>
    <t>Continental GTC V8 PHEV Convertible</t>
  </si>
  <si>
    <t>Flying Spur V8 PHEV</t>
  </si>
  <si>
    <t>BUICK</t>
  </si>
  <si>
    <t>ENCORE GX G</t>
  </si>
  <si>
    <t>ENCORE GX F</t>
  </si>
  <si>
    <t>ENCLAVE P</t>
  </si>
  <si>
    <t>ENVISTA D</t>
  </si>
  <si>
    <t>ENVISTA U</t>
  </si>
  <si>
    <t>ENCLAVE B</t>
  </si>
  <si>
    <t>ENVISION G</t>
  </si>
  <si>
    <t>ENVISION F</t>
  </si>
  <si>
    <t>YUAN PRO</t>
  </si>
  <si>
    <t>BYD DOLPHIN MINI 4
ASIENTOS</t>
  </si>
  <si>
    <t>BYD DOLPHIN MINI 5
ASIENTOS</t>
  </si>
  <si>
    <t>SEALION 7 AWD</t>
  </si>
  <si>
    <t>SEAL (RWD)</t>
  </si>
  <si>
    <t>TANG EV</t>
  </si>
  <si>
    <t>YUAN PLUS</t>
  </si>
  <si>
    <t>BYD D1</t>
  </si>
  <si>
    <t>DOLPHIN</t>
  </si>
  <si>
    <t>E5</t>
  </si>
  <si>
    <t>HAN</t>
  </si>
  <si>
    <t>BYD KING DM-I 55KM</t>
  </si>
  <si>
    <t>SHARK DM-O</t>
  </si>
  <si>
    <t>SONG PRO DM-I</t>
  </si>
  <si>
    <t>CADILLAC</t>
  </si>
  <si>
    <t>ESCALADE ESV L</t>
  </si>
  <si>
    <t>ESCALADE ESV D</t>
  </si>
  <si>
    <t>ESCALADE D</t>
  </si>
  <si>
    <t>ESCALADE L</t>
  </si>
  <si>
    <t>BYD</t>
  </si>
  <si>
    <t>CHANGAN</t>
  </si>
  <si>
    <t>CS95 4WD</t>
  </si>
  <si>
    <t>CS55 PLUS iDD</t>
  </si>
  <si>
    <t>EADO PLUS iDD</t>
  </si>
  <si>
    <t>CS95 2WD</t>
  </si>
  <si>
    <t>EADO PLUS</t>
  </si>
  <si>
    <t>HONOR S</t>
  </si>
  <si>
    <t>NEW STAR TRUCK</t>
  </si>
  <si>
    <t>E07</t>
  </si>
  <si>
    <t>HUNTER E REEV 4X4</t>
  </si>
  <si>
    <t>HUNTER E REEV 4X2</t>
  </si>
  <si>
    <t>ALSVIN 1.5</t>
  </si>
  <si>
    <t>ALSVIN 1.4</t>
  </si>
  <si>
    <t>UNI-K AWD</t>
  </si>
  <si>
    <t>CS55 PLUS</t>
  </si>
  <si>
    <t>CS75 PLUS 1.5 2WD</t>
  </si>
  <si>
    <t>CS75 PLUS 2.0 4WD</t>
  </si>
  <si>
    <t>UNI-K 2WD</t>
  </si>
  <si>
    <t>HUNTER PLUS 4X2 AT</t>
  </si>
  <si>
    <t>HUNTER PLUS 4X4 AT</t>
  </si>
  <si>
    <t>HUNTER PLUS 4X2 MT</t>
  </si>
  <si>
    <t>CS75</t>
  </si>
  <si>
    <t>HUNTER CHASIS</t>
  </si>
  <si>
    <t>HUNTER WORK</t>
  </si>
  <si>
    <t>CS35 PLUS</t>
  </si>
  <si>
    <t>CS35 MAX</t>
  </si>
  <si>
    <t>UNI-V</t>
  </si>
  <si>
    <t>ALSVIN PLUS</t>
  </si>
  <si>
    <t>ONIX A</t>
  </si>
  <si>
    <t>ONIX B</t>
  </si>
  <si>
    <t>ONIX E</t>
  </si>
  <si>
    <t>ONIX D</t>
  </si>
  <si>
    <t>ONIX C</t>
  </si>
  <si>
    <t>CAPTIVA A</t>
  </si>
  <si>
    <t>CAPTIVA D</t>
  </si>
  <si>
    <t>CAPTIVA C</t>
  </si>
  <si>
    <t>CAPTIVA B</t>
  </si>
  <si>
    <t>GROOVE A</t>
  </si>
  <si>
    <t>GROOVE B</t>
  </si>
  <si>
    <t>GROOVE C</t>
  </si>
  <si>
    <t>S10 MAX F</t>
  </si>
  <si>
    <t>S10 MAX B</t>
  </si>
  <si>
    <t>S10 MAX C</t>
  </si>
  <si>
    <t>S10 MAX A</t>
  </si>
  <si>
    <t>AVEO F</t>
  </si>
  <si>
    <t>AVEO E</t>
  </si>
  <si>
    <t>AVEO D</t>
  </si>
  <si>
    <t>AVEO C</t>
  </si>
  <si>
    <t>AVEO G</t>
  </si>
  <si>
    <t>AVEO A</t>
  </si>
  <si>
    <t>AVEO B</t>
  </si>
  <si>
    <t>TRAVERSE B</t>
  </si>
  <si>
    <t>TRAX C</t>
  </si>
  <si>
    <t>MONTANA A</t>
  </si>
  <si>
    <t>MONTANA B</t>
  </si>
  <si>
    <t>SILVERADO N</t>
  </si>
  <si>
    <t>SILVERADO O</t>
  </si>
  <si>
    <t>SILVERADO K</t>
  </si>
  <si>
    <t>TRAX A</t>
  </si>
  <si>
    <t>TRAX B</t>
  </si>
  <si>
    <t>TORNADO VAN B</t>
  </si>
  <si>
    <t>COLORADO C</t>
  </si>
  <si>
    <t>COLORADO D</t>
  </si>
  <si>
    <t>EXPRESS MAX EV B</t>
  </si>
  <si>
    <t>EXPRESS MAX EV A</t>
  </si>
  <si>
    <t>CHEYENNE G</t>
  </si>
  <si>
    <t>CHEYENNE R</t>
  </si>
  <si>
    <t>CHEYENNE S</t>
  </si>
  <si>
    <t>CHEYENNE H</t>
  </si>
  <si>
    <t>CHEYENNE B</t>
  </si>
  <si>
    <t>CHEYENNE D</t>
  </si>
  <si>
    <t>CAPTIVA PHEV B</t>
  </si>
  <si>
    <t>CAPTIVA PHEV A</t>
  </si>
  <si>
    <t>CORVETTE C</t>
  </si>
  <si>
    <t>CORVETTE B</t>
  </si>
  <si>
    <t>CORVETTE F</t>
  </si>
  <si>
    <t>CORVETTE A</t>
  </si>
  <si>
    <t>TRACKER C</t>
  </si>
  <si>
    <t>TRACKER D</t>
  </si>
  <si>
    <t>CORVETTE J</t>
  </si>
  <si>
    <t>EXPRESS MAX A</t>
  </si>
  <si>
    <t>TAHOE P</t>
  </si>
  <si>
    <t>TAHOE A</t>
  </si>
  <si>
    <t>TAHOE D</t>
  </si>
  <si>
    <t>TAHOE G</t>
  </si>
  <si>
    <t>SUBURBAN C</t>
  </si>
  <si>
    <t>SUBURBAN B</t>
  </si>
  <si>
    <t>SUBURBAN G</t>
  </si>
  <si>
    <t>TAHOE B</t>
  </si>
  <si>
    <t>CORVETTE N</t>
  </si>
  <si>
    <t>CORVETTE M</t>
  </si>
  <si>
    <t>CORVETTE K</t>
  </si>
  <si>
    <t>CORVETTE O</t>
  </si>
  <si>
    <t>CHEVROLET</t>
  </si>
  <si>
    <t xml:space="preserve">SPARK EUV </t>
  </si>
  <si>
    <t>BRIGHTDROP 400</t>
  </si>
  <si>
    <t>BRIGHTDROP 600</t>
  </si>
  <si>
    <t>DEEPAL</t>
  </si>
  <si>
    <t>S07 BEV</t>
  </si>
  <si>
    <t>S07 REEV</t>
  </si>
  <si>
    <t>G318 REEV AWD</t>
  </si>
  <si>
    <t>S05 BEV</t>
  </si>
  <si>
    <t>S05 REEV</t>
  </si>
  <si>
    <t>F 150 5.0L 4X2</t>
  </si>
  <si>
    <t>8V</t>
  </si>
  <si>
    <t>F 150 3.5L HIGH OUTPUT</t>
  </si>
  <si>
    <t>F 150 5.2L</t>
  </si>
  <si>
    <t>MUSTANG 5.0L</t>
  </si>
  <si>
    <t>MUSTANG 5.0L DARKHORSE</t>
  </si>
  <si>
    <t>MUSTANG GTD 5.2L</t>
  </si>
  <si>
    <t>MUSTANG 2.3L</t>
  </si>
  <si>
    <t>4I</t>
  </si>
  <si>
    <t>EXPLORER 3.0L AWD</t>
  </si>
  <si>
    <t>EXPLORER 2.3L 4WD</t>
  </si>
  <si>
    <t>EXPLORER 2.3L RWD</t>
  </si>
  <si>
    <t>EXPEDITION 3.5L 4X2</t>
  </si>
  <si>
    <t>EXPEDITION 3.5L 4X4</t>
  </si>
  <si>
    <t>BRONCO SPORT 1.5L 4WD</t>
  </si>
  <si>
    <t>BRONCO SPORT 2.0L 4WD</t>
  </si>
  <si>
    <t>TERRITORY 1.8L</t>
  </si>
  <si>
    <t>TERRITORY 1.5L FHEV</t>
  </si>
  <si>
    <t>ESCAPE 2.5L AWD HEV</t>
  </si>
  <si>
    <t>EDGE 2.0L FHEV</t>
  </si>
  <si>
    <t>BRONCO 2.3L 4X4</t>
  </si>
  <si>
    <t>BRONCO 2.7L 4X4</t>
  </si>
  <si>
    <t>BRONCO 3.0L 4X4</t>
  </si>
  <si>
    <t>MAVERICK 2.0L AWD</t>
  </si>
  <si>
    <t>MAVERICK 2.5L AWD HEV</t>
  </si>
  <si>
    <t>MAVERICK 2.5L FWD HEV</t>
  </si>
  <si>
    <t>RANGER 2.0L</t>
  </si>
  <si>
    <t>RANGER 2.3L 4X2</t>
  </si>
  <si>
    <t>RANGER 2.3L 4X4</t>
  </si>
  <si>
    <t>RANGER 3.0L</t>
  </si>
  <si>
    <t>TRANSIT CUSTOM 2.0L</t>
  </si>
  <si>
    <t>F 150 2.7L 4X2</t>
  </si>
  <si>
    <t>F 150 2.7L 4X4</t>
  </si>
  <si>
    <t>F 150 3.5L 4X2</t>
  </si>
  <si>
    <t>F 150 3.5L 4X4</t>
  </si>
  <si>
    <t>F 150 3.5L HEV 4X2</t>
  </si>
  <si>
    <t>F 150 3.5L HEV 4X4</t>
  </si>
  <si>
    <t>F 150 5.0L 4X4</t>
  </si>
  <si>
    <t>FORD</t>
  </si>
  <si>
    <t>MUSTANG MACH E 2026</t>
  </si>
  <si>
    <t>COOLRAY DCT</t>
  </si>
  <si>
    <t>EX5 EM I PHEV</t>
  </si>
  <si>
    <t>EX2 AT</t>
  </si>
  <si>
    <t>EMGRAND MT</t>
  </si>
  <si>
    <t>EMGRAND AT</t>
  </si>
  <si>
    <t>GEELY</t>
  </si>
  <si>
    <t>GMC</t>
  </si>
  <si>
    <t>TERRAIN A</t>
  </si>
  <si>
    <t>TERRAIN D</t>
  </si>
  <si>
    <t>TERRAIN B</t>
  </si>
  <si>
    <t>TERRAIN C</t>
  </si>
  <si>
    <t>ACADIA C</t>
  </si>
  <si>
    <t>ACADIA G</t>
  </si>
  <si>
    <t>CANYON E</t>
  </si>
  <si>
    <t>CANYON F</t>
  </si>
  <si>
    <t>SIERRA F</t>
  </si>
  <si>
    <t>SIERRA C</t>
  </si>
  <si>
    <t>SIERRA E</t>
  </si>
  <si>
    <t>SIERRA G</t>
  </si>
  <si>
    <t>HUMMER EV SUV A</t>
  </si>
  <si>
    <t>YUKON A</t>
  </si>
  <si>
    <t>YUKON XL B</t>
  </si>
  <si>
    <t xml:space="preserve">HUMMER EV PICKUP </t>
  </si>
  <si>
    <t>TOURING HEV</t>
  </si>
  <si>
    <t>PRIME</t>
  </si>
  <si>
    <t>TOURING</t>
  </si>
  <si>
    <t>UNIQ</t>
  </si>
  <si>
    <t>SPORT CVT</t>
  </si>
  <si>
    <t>TOURING CVT</t>
  </si>
  <si>
    <t>PRIME CVT</t>
  </si>
  <si>
    <t>E-CVT</t>
  </si>
  <si>
    <t>I STYLE</t>
  </si>
  <si>
    <t>SPORT HEV</t>
  </si>
  <si>
    <t>TURBO</t>
  </si>
  <si>
    <t>TURBO PLUS</t>
  </si>
  <si>
    <t>SPORT TOURING HEV</t>
  </si>
  <si>
    <t>SPORT</t>
  </si>
  <si>
    <t>BLACK EDITION</t>
  </si>
  <si>
    <t>HONDA</t>
  </si>
  <si>
    <t>QX80 AT 3.5L R20</t>
  </si>
  <si>
    <t>QX80 AT 3.5L R22</t>
  </si>
  <si>
    <t>QX60 AT 3.5L 4WD</t>
  </si>
  <si>
    <t>INFINITI</t>
  </si>
  <si>
    <t>JETOUR</t>
  </si>
  <si>
    <t>JETOUR DASHING 1.6T +7DCT
VT02</t>
  </si>
  <si>
    <t>OUR DASHING 1.5T + 6DCT</t>
  </si>
  <si>
    <t>JETOUR T1 1.5T + 7DCT</t>
  </si>
  <si>
    <t>JETOUR T1 2.0T + 8AT</t>
  </si>
  <si>
    <t>JETOUR T1 I-DM PHEV</t>
  </si>
  <si>
    <t>JETOUR T2 2.0T + 7DCT</t>
  </si>
  <si>
    <t>OUR T2 1.5T + 7DCT VOFON</t>
  </si>
  <si>
    <t>ETOUR T2 I-DM 1.5T PHEV</t>
  </si>
  <si>
    <t>JETOUR T2 2.0T ISEM / 2.0T</t>
  </si>
  <si>
    <t>JETOUR T2 I-DM 1.5T 3DHT
4WD PHEV</t>
  </si>
  <si>
    <t>JMC</t>
  </si>
  <si>
    <t>GRAND AVENUE PLUS 4X4</t>
  </si>
  <si>
    <t>GRAND AVENUE PRO 4X4</t>
  </si>
  <si>
    <t>NEW VIGUS PLUS 4X4 AT</t>
  </si>
  <si>
    <t>NEW VIGUS PLUS 4X2 AT</t>
  </si>
  <si>
    <t>NEW VIGUS 4X2 MT</t>
  </si>
  <si>
    <t>LINCOLN</t>
  </si>
  <si>
    <t>CORSAIR 2.0L AWD</t>
  </si>
  <si>
    <t>CORSAIR 2.0L FWD</t>
  </si>
  <si>
    <t>NAUTILUS 2.0L AWD</t>
  </si>
  <si>
    <t>NAUTILUS 2.0 HEV</t>
  </si>
  <si>
    <t>AVIATOR 3.0L AWD</t>
  </si>
  <si>
    <t>AVIATOR 3.0L RWD</t>
  </si>
  <si>
    <t>NAVIGATOR 3.5L 4X4</t>
  </si>
  <si>
    <t>OUTLANDER SPORT</t>
  </si>
  <si>
    <t>MIRAGE G4 GLX CVT</t>
  </si>
  <si>
    <t>MIRAGE G4 GLS CVT</t>
  </si>
  <si>
    <t>L200 GLX TM 4X2</t>
  </si>
  <si>
    <t>L200 GSR</t>
  </si>
  <si>
    <t>L200 GLS</t>
  </si>
  <si>
    <t>L200 GLX TM 4X4</t>
  </si>
  <si>
    <t>MONTERO SPORT SE PLUS</t>
  </si>
  <si>
    <t>MONTERO SPORT SE</t>
  </si>
  <si>
    <t>OUTLANDER SPORT SE/SE</t>
  </si>
  <si>
    <t>XPANDER CROSS</t>
  </si>
  <si>
    <t>XPANDER</t>
  </si>
  <si>
    <t>SE PLUS</t>
  </si>
  <si>
    <t>LIMITED</t>
  </si>
  <si>
    <t>OUTLANDER LIMITED</t>
  </si>
  <si>
    <t>OUTLANDER SE PLUS</t>
  </si>
  <si>
    <t>MITSUBISHI</t>
  </si>
  <si>
    <t>3L</t>
  </si>
  <si>
    <t>Z</t>
  </si>
  <si>
    <t>MAGNITE MT</t>
  </si>
  <si>
    <t>MAGNITE CVT</t>
  </si>
  <si>
    <t>X-TRAIL 2ROW</t>
  </si>
  <si>
    <t>X-TRAIL E-POWER E-REV</t>
  </si>
  <si>
    <t>KICKS</t>
  </si>
  <si>
    <t>FRONTIER V6 PRO-4X, T/A 4X4</t>
  </si>
  <si>
    <t>KICKS PLAY E-POWER E-REV</t>
  </si>
  <si>
    <t>X-TRAIL 3ROW</t>
  </si>
  <si>
    <t>NISSAN</t>
  </si>
  <si>
    <t>FRONTIER DOBLE CABINA 4X2
MT</t>
  </si>
  <si>
    <t>FRONTIER DOBLE CABINA 4X2</t>
  </si>
  <si>
    <t>FRONTIER DOBLE CABINA
4X4 AT</t>
  </si>
  <si>
    <t>FRONTIER DOBLE CABINA
(DIESEL 4X4 AT)</t>
  </si>
  <si>
    <t>NP300 CABINA SENCILLA
(DIESEL 4X2 MT)</t>
  </si>
  <si>
    <t>SENTRA</t>
  </si>
  <si>
    <t>RONTIER V6 PRO-4X, T/A 4X4</t>
  </si>
  <si>
    <t>ICKS PLAY E-POWER E-REV</t>
  </si>
  <si>
    <t>NP300 CABINA SENCILLA 4X2
MT</t>
  </si>
  <si>
    <t>FRONTIER DOBLE CABINA 4X2
AT</t>
  </si>
  <si>
    <t>FRONTIER DOBLE CABINA 4X4 DIESEL</t>
  </si>
  <si>
    <t>PORSCHE</t>
  </si>
  <si>
    <t>911* CARRERA 2 PDK (COUPE)</t>
  </si>
  <si>
    <t>MACAN GTS</t>
  </si>
  <si>
    <t>911* CARRERA 70 SPIRIT</t>
  </si>
  <si>
    <t>911* CARRERA 2S PDK (COUPE)</t>
  </si>
  <si>
    <t>PANAMERA TURBO S PHEV
(NWB)</t>
  </si>
  <si>
    <t>911* CARRERA GTS PDK (COUPE)</t>
  </si>
  <si>
    <t>911* CARRERA GTS PDK
(CABRIO)</t>
  </si>
  <si>
    <t>911* CARRERA T MT (COUPE)</t>
  </si>
  <si>
    <t>MACAN S</t>
  </si>
  <si>
    <t>911* CARRERA 4GTS PDK
(CABRIO)</t>
  </si>
  <si>
    <t>911* CARRERA 4S 3.0 COUPE</t>
  </si>
  <si>
    <t>911* CARRERA 4S 3.0 CABRIO</t>
  </si>
  <si>
    <t>911* CARRERA 4S 3.0 TARGA</t>
  </si>
  <si>
    <t>911* CARRERA 4GTS PDK
(COUPE)</t>
  </si>
  <si>
    <t>911* CARRERA 4GTS PDK
(TARGA)</t>
  </si>
  <si>
    <t>CAYENNE BASIS (SUV)</t>
  </si>
  <si>
    <t>CAYENNE BASIS (COUPE)</t>
  </si>
  <si>
    <t>CAYENNE TURBO PHEV (SUV)</t>
  </si>
  <si>
    <t>CAYENNE TURBO PHEV
(COUPE)</t>
  </si>
  <si>
    <t>PANAMERA GTS (NWB)</t>
  </si>
  <si>
    <t>CAYENNE CAYENNE S (SUV)</t>
  </si>
  <si>
    <t>CAYENNE CAYENNE S (COUPE)</t>
  </si>
  <si>
    <t>CAYENNE CAYENNE GTS
(COUPE)</t>
  </si>
  <si>
    <t>CAYENNE CAYENNE GTS (SUV)</t>
  </si>
  <si>
    <t>CAYENNE CAYENNE GT
(COUPE)</t>
  </si>
  <si>
    <t>911* GT3 PDK</t>
  </si>
  <si>
    <t>911* GT3 TOURING PDK</t>
  </si>
  <si>
    <t>911* GT3 MT</t>
  </si>
  <si>
    <t>911* GT3 TOURING MT</t>
  </si>
  <si>
    <t>PANAMERA S PHEV (NWB)</t>
  </si>
  <si>
    <t>PANAMERA BASIS PHEV (NWB)</t>
  </si>
  <si>
    <t>MACAN BASIS</t>
  </si>
  <si>
    <t>MACAN T</t>
  </si>
  <si>
    <t>CAYENNE BASIS PHEV (SUV)</t>
  </si>
  <si>
    <t>CAYENNE BASIS PHEV (COUPE)</t>
  </si>
  <si>
    <t>CAYENNE S PHEV (SUV)</t>
  </si>
  <si>
    <t>CAYENNE S PHEV (COUPE)</t>
  </si>
  <si>
    <t>PANAMERA TURBO PHEV
(NWB)</t>
  </si>
  <si>
    <t>CUPRA ATECA 2.0 TSI 300HP DSG 4DRIVE</t>
  </si>
  <si>
    <t>SEAT IBIZA 1.0 TSI 115 HP</t>
  </si>
  <si>
    <t>SEAT IBIZA 1.5 TSI DSG</t>
  </si>
  <si>
    <t>CUPRA FORMENTOR 1.5 TSI MHEV</t>
  </si>
  <si>
    <t>SEAT IBIZA 1.6 MPI 110 HP MANUAL</t>
  </si>
  <si>
    <t>SEAT LEON 1.4 TSI 150 HP AT</t>
  </si>
  <si>
    <t>SEAT IBIZA 1.6 MPI 110 HP AT</t>
  </si>
  <si>
    <t>SEAT ARONA 1.6 MPI 110 HP AT</t>
  </si>
  <si>
    <t>SEAT ATECA 1.4 TSI 150 HP AT</t>
  </si>
  <si>
    <t>CUPRA FORMENTOR 2.0 TSI 190 HP DSG</t>
  </si>
  <si>
    <t>CUPRA LEON 2.0 TSI 190 HP DSG</t>
  </si>
  <si>
    <t>CUPRA TERRAMAR 1.4 TSI 150 HP DSG</t>
  </si>
  <si>
    <t>CUPRA LEON 2.0 TSI 300 HP DSG</t>
  </si>
  <si>
    <t>CUPRA TERRAMAR 2.0 TSI 265 HP DSG</t>
  </si>
  <si>
    <t>CUPRA FORMENTOR 2.0 TSI 333 HP DSG</t>
  </si>
  <si>
    <t>SEAT</t>
  </si>
  <si>
    <t>SOUEAST S07 1.5T</t>
  </si>
  <si>
    <t>SOUEAST S05 6DCT-1.5T</t>
  </si>
  <si>
    <t>UEAST S09 2.0T 180KW AWD</t>
  </si>
  <si>
    <t>SOUEAST S07 1.6T</t>
  </si>
  <si>
    <t>SOUEAST S09 1.6T</t>
  </si>
  <si>
    <t>SOUEAST</t>
  </si>
  <si>
    <t>SUZUKI</t>
  </si>
  <si>
    <t>DZIRE 1.2 MHEV CVT</t>
  </si>
  <si>
    <t>DZIRE 1.2 MHEV MT</t>
  </si>
  <si>
    <t>SWIFT 1.2 MHEV MT</t>
  </si>
  <si>
    <t>SWIFT 1.2 MHEV CVT</t>
  </si>
  <si>
    <t>ERTIGA XL7 1.5 AT MHEV</t>
  </si>
  <si>
    <t>GRAND VITARA 1.5 AT MHEV</t>
  </si>
  <si>
    <t>BALENO 1.5 AT</t>
  </si>
  <si>
    <t>FRONX 1.5 AT MHEV</t>
  </si>
  <si>
    <t>ERTIGA 1.5 AT MHEV</t>
  </si>
  <si>
    <t>JIMNY 1.5 MT 4WD</t>
  </si>
  <si>
    <t>JIMNY 1.5 AT 4WD</t>
  </si>
  <si>
    <t>JIMNY 1.5 5PTAS AT</t>
  </si>
  <si>
    <t>JIMNY 1.5 5PTAS MT</t>
  </si>
  <si>
    <t>ERTIGA 1.5 MT MHEV</t>
  </si>
  <si>
    <t>FRONX 1.5 MT</t>
  </si>
  <si>
    <t>CRAFTER 3.5T MWB CARGO VAN MANUAL</t>
  </si>
  <si>
    <t>CRAFTER 3.5T LWB CARGO VAN MANUAL</t>
  </si>
  <si>
    <t>CRAFTER 3.5T MWB CHASIS MANUAL</t>
  </si>
  <si>
    <t>CADDY PASSENGER VAN 2.0 TDI MANUAL</t>
  </si>
  <si>
    <t>CADDY CARGO VAN 2.0 TDI MANUAL</t>
  </si>
  <si>
    <t>CADDY MAXI CARGO VAN 1.6 MPI MANUAL</t>
  </si>
  <si>
    <t>CADDY MAXI PASSENGER VAN 1.6 MPI MANUAL</t>
  </si>
  <si>
    <t>VOLKSWAGEN</t>
  </si>
  <si>
    <t>POLO 1.0 TSI</t>
  </si>
  <si>
    <t>POLO 1.6 MPI (TRACK)</t>
  </si>
  <si>
    <t>POLO 1.6 MPI</t>
  </si>
  <si>
    <t>VOLKSWAGEN TERAMONT 2.0 TSI TIPTRONIC 4MOTION</t>
  </si>
  <si>
    <t>VOLKSWAGEN TERAMONT 2.0 TSI TIPTRONIC</t>
  </si>
  <si>
    <t>VOLKSWAGEN CROSS SPORT 2.0 TSI</t>
  </si>
  <si>
    <t>VOLKSWAGEN TERAMONT PEAK EDITION 2.0 TSI TIPTRONIC 4MOTION</t>
  </si>
  <si>
    <t>JETTA 1.4 TSI 150 HP AT</t>
  </si>
  <si>
    <t>NIVUS 1.0 TSI</t>
  </si>
  <si>
    <t>VIRTUS 1.0 TSI TIPTRONIC</t>
  </si>
  <si>
    <t>VOLKSWAGEN TERA 1.0 TSI</t>
  </si>
  <si>
    <t>VOLKSWAGEN TERA 1.6 MPI</t>
  </si>
  <si>
    <t>TAIGUN 1.0 TSI TIPTRONIC</t>
  </si>
  <si>
    <t>TAOS 1.4 TSI 150 HP AT</t>
  </si>
  <si>
    <t>JETTA GLI 2.0 TFSI 230 HP DCT</t>
  </si>
  <si>
    <t>VIRTUS 1.6 MPI MANUAL</t>
  </si>
  <si>
    <t>VIRTUS 1.6 MPI AT</t>
  </si>
  <si>
    <t>SAVEIRO 1.6 MPI</t>
  </si>
  <si>
    <t>TIGUAN 1.4 TSI 150 HP DCT</t>
  </si>
  <si>
    <t>GOLF GTI 2.0 TSI DCT</t>
  </si>
  <si>
    <t>VOLVO</t>
  </si>
  <si>
    <t>EX40</t>
  </si>
  <si>
    <t>EC40</t>
  </si>
  <si>
    <t>EX90</t>
  </si>
  <si>
    <t>XC90</t>
  </si>
  <si>
    <t>EX30</t>
  </si>
  <si>
    <t>XC60</t>
  </si>
  <si>
    <t>5L</t>
  </si>
  <si>
    <t>1SP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</si>
</sst>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2" borderId="0" xfId="0" applyFill="1"/>
    <xf numFmtId="1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FCAF-57AF-48D3-A471-F164554703F2}">
  <dimension ref="A1:N467"/>
  <sheetViews>
    <sheetView tabSelected="1" workbookViewId="0">
      <pane ySplit="1" topLeftCell="A2" activePane="bottomLeft" state="frozen"/>
      <selection pane="bottomLeft" activeCell="C352" sqref="C352"/>
    </sheetView>
  </sheetViews>
  <sheetFormatPr baseColWidth="10" defaultRowHeight="14.4"/>
  <cols>
    <col min="1" max="1" width="11.5546875" style="4"/>
    <col min="2" max="2" width="13.88671875" style="5" customWidth="1"/>
    <col min="3" max="3" width="33.44140625" style="5" customWidth="1"/>
    <col min="4" max="4" width="20.33203125" style="5" customWidth="1"/>
    <col min="5" max="6" width="19.6640625" style="1" customWidth="1"/>
    <col min="7" max="7" width="21" style="1" customWidth="1"/>
    <col min="8" max="8" width="15.6640625" style="5" customWidth="1"/>
    <col min="9" max="9" width="20.77734375" style="1" customWidth="1"/>
    <col min="10" max="10" width="16.33203125" style="1" customWidth="1"/>
    <col min="11" max="11" width="17.77734375" style="1" customWidth="1"/>
    <col min="12" max="12" width="18.5546875" style="1" customWidth="1"/>
    <col min="13" max="13" width="15" customWidth="1"/>
    <col min="14" max="14" width="14.109375" style="5" customWidth="1"/>
  </cols>
  <sheetData>
    <row r="1" spans="1:14">
      <c r="A1" s="4" t="s">
        <v>20</v>
      </c>
      <c r="B1" s="5" t="s">
        <v>21</v>
      </c>
      <c r="C1" s="5" t="s">
        <v>22</v>
      </c>
      <c r="D1" s="5" t="s">
        <v>23</v>
      </c>
      <c r="E1" s="1" t="s">
        <v>27</v>
      </c>
      <c r="F1" s="1" t="s">
        <v>28</v>
      </c>
      <c r="G1" s="1" t="s">
        <v>29</v>
      </c>
      <c r="H1" s="5" t="s">
        <v>24</v>
      </c>
      <c r="I1" s="1" t="s">
        <v>25</v>
      </c>
      <c r="J1" s="9" t="s">
        <v>30</v>
      </c>
      <c r="K1" s="1" t="s">
        <v>31</v>
      </c>
      <c r="L1" s="1" t="s">
        <v>32</v>
      </c>
      <c r="M1" t="s">
        <v>46</v>
      </c>
      <c r="N1" s="5" t="s">
        <v>47</v>
      </c>
    </row>
    <row r="2" spans="1:14">
      <c r="A2" s="4">
        <v>1000</v>
      </c>
      <c r="B2" s="5" t="s">
        <v>26</v>
      </c>
      <c r="C2" s="5" t="s">
        <v>0</v>
      </c>
      <c r="D2" s="5" t="s">
        <v>1</v>
      </c>
      <c r="E2" s="1">
        <v>11.3</v>
      </c>
      <c r="F2" s="1">
        <v>16.2</v>
      </c>
      <c r="G2" s="1">
        <v>13.5</v>
      </c>
      <c r="H2" s="7" t="str">
        <f>IF(D2="ELÉCTRICO","km/kwh",IF(OR(D2="GASOLINA",D2="HIBRIDO",D2="DIESEL"),"km/l","N/D"))</f>
        <v>km/l</v>
      </c>
      <c r="I2" s="1" cm="1">
        <f t="array" ref="I2">_xlfn.IFS(D2="GASOLINA",24,D2="HIBRIDO",24,D2="ELÉCTRICO",5,D2="DIESEL",27)</f>
        <v>24</v>
      </c>
      <c r="J2" s="1">
        <v>210.2</v>
      </c>
      <c r="K2" s="1">
        <v>147.4</v>
      </c>
      <c r="L2" s="1">
        <v>181.9</v>
      </c>
      <c r="M2" t="s">
        <v>34</v>
      </c>
      <c r="N2" s="5" t="s">
        <v>2</v>
      </c>
    </row>
    <row r="3" spans="1:14">
      <c r="A3" s="4">
        <v>1001</v>
      </c>
      <c r="B3" s="5" t="s">
        <v>26</v>
      </c>
      <c r="C3" s="5" t="s">
        <v>3</v>
      </c>
      <c r="D3" s="5" t="s">
        <v>1</v>
      </c>
      <c r="E3" s="1">
        <v>10.6</v>
      </c>
      <c r="F3" s="1">
        <v>15.8</v>
      </c>
      <c r="G3" s="1">
        <v>13</v>
      </c>
      <c r="H3" s="7" t="str">
        <f t="shared" ref="H3:H66" si="0">IF(D3="ELÉCTRICO","km/kwh",IF(OR(D3="GASOLINA",D3="HIBRIDO",D3="DIESEL"),"km/l","N/D"))</f>
        <v>km/l</v>
      </c>
      <c r="I3" s="1" cm="1">
        <f t="array" ref="I3">_xlfn.IFS(D3="GASOLINA",24,D3="HIBRIDO",24,D3="ELÉCTRICO",5,D3="DIESEL",27)</f>
        <v>24</v>
      </c>
      <c r="J3" s="1">
        <v>223.1</v>
      </c>
      <c r="K3" s="1">
        <v>150.1</v>
      </c>
      <c r="L3" s="1">
        <v>190.3</v>
      </c>
      <c r="M3" t="s">
        <v>34</v>
      </c>
      <c r="N3" s="5" t="s">
        <v>4</v>
      </c>
    </row>
    <row r="4" spans="1:14">
      <c r="A4" s="4">
        <v>1002</v>
      </c>
      <c r="B4" s="5" t="s">
        <v>26</v>
      </c>
      <c r="C4" s="5" t="s">
        <v>0</v>
      </c>
      <c r="D4" s="5" t="s">
        <v>1</v>
      </c>
      <c r="E4" s="1">
        <v>11.6</v>
      </c>
      <c r="F4" s="1">
        <v>15.9</v>
      </c>
      <c r="G4" s="1">
        <v>13.5</v>
      </c>
      <c r="H4" s="7" t="str">
        <f t="shared" si="0"/>
        <v>km/l</v>
      </c>
      <c r="I4" s="1" cm="1">
        <f t="array" ref="I4">_xlfn.IFS(D4="GASOLINA",24,D4="HIBRIDO",24,D4="ELÉCTRICO",5,D4="DIESEL",27)</f>
        <v>24</v>
      </c>
      <c r="J4" s="1">
        <v>205.5</v>
      </c>
      <c r="K4" s="1">
        <v>150.5</v>
      </c>
      <c r="L4" s="1">
        <v>180.8</v>
      </c>
      <c r="M4" t="s">
        <v>34</v>
      </c>
      <c r="N4" s="5" t="s">
        <v>5</v>
      </c>
    </row>
    <row r="5" spans="1:14">
      <c r="A5" s="4">
        <v>1003</v>
      </c>
      <c r="B5" s="5" t="s">
        <v>26</v>
      </c>
      <c r="C5" s="5" t="s">
        <v>6</v>
      </c>
      <c r="D5" s="5" t="s">
        <v>1</v>
      </c>
      <c r="E5" s="1">
        <v>11.4</v>
      </c>
      <c r="F5" s="1">
        <v>16.100000000000001</v>
      </c>
      <c r="G5" s="1">
        <v>13.5</v>
      </c>
      <c r="H5" s="7" t="str">
        <f t="shared" si="0"/>
        <v>km/l</v>
      </c>
      <c r="I5" s="1" cm="1">
        <f t="array" ref="I5">_xlfn.IFS(D5="GASOLINA",24,D5="HIBRIDO",24,D5="ELÉCTRICO",5,D5="DIESEL",27)</f>
        <v>24</v>
      </c>
      <c r="J5" s="1">
        <v>208.1</v>
      </c>
      <c r="K5" s="1">
        <v>147.4</v>
      </c>
      <c r="L5" s="1">
        <v>180.8</v>
      </c>
      <c r="M5" t="s">
        <v>34</v>
      </c>
      <c r="N5" s="5" t="s">
        <v>4</v>
      </c>
    </row>
    <row r="6" spans="1:14">
      <c r="A6" s="4">
        <v>1004</v>
      </c>
      <c r="B6" s="5" t="s">
        <v>26</v>
      </c>
      <c r="C6" s="5" t="s">
        <v>7</v>
      </c>
      <c r="D6" s="5" t="s">
        <v>1</v>
      </c>
      <c r="E6" s="1">
        <v>11.6</v>
      </c>
      <c r="F6" s="1">
        <v>16.100000000000001</v>
      </c>
      <c r="G6" s="1">
        <v>13.6</v>
      </c>
      <c r="H6" s="7" t="str">
        <f t="shared" si="0"/>
        <v>km/l</v>
      </c>
      <c r="I6" s="1" cm="1">
        <f t="array" ref="I6">_xlfn.IFS(D6="GASOLINA",24,D6="HIBRIDO",24,D6="ELÉCTRICO",5,D6="DIESEL",27)</f>
        <v>24</v>
      </c>
      <c r="J6" s="1">
        <v>203.3</v>
      </c>
      <c r="K6" s="1">
        <v>147</v>
      </c>
      <c r="L6" s="1">
        <v>178</v>
      </c>
      <c r="M6" t="s">
        <v>34</v>
      </c>
      <c r="N6" s="5" t="s">
        <v>5</v>
      </c>
    </row>
    <row r="7" spans="1:14">
      <c r="A7" s="4">
        <v>1005</v>
      </c>
      <c r="B7" s="5" t="s">
        <v>26</v>
      </c>
      <c r="C7" s="5" t="s">
        <v>8</v>
      </c>
      <c r="D7" s="5" t="s">
        <v>1</v>
      </c>
      <c r="E7" s="1">
        <v>11.8</v>
      </c>
      <c r="F7" s="1">
        <v>16.100000000000001</v>
      </c>
      <c r="G7" s="1">
        <v>13.7</v>
      </c>
      <c r="H7" s="7" t="str">
        <f t="shared" si="0"/>
        <v>km/l</v>
      </c>
      <c r="I7" s="1" cm="1">
        <f t="array" ref="I7">_xlfn.IFS(D7="GASOLINA",24,D7="HIBRIDO",24,D7="ELÉCTRICO",5,D7="DIESEL",27)</f>
        <v>24</v>
      </c>
      <c r="J7" s="1">
        <v>200.4</v>
      </c>
      <c r="K7" s="1">
        <v>147</v>
      </c>
      <c r="L7" s="1">
        <v>176.4</v>
      </c>
      <c r="M7" t="s">
        <v>34</v>
      </c>
      <c r="N7" s="5" t="s">
        <v>2</v>
      </c>
    </row>
    <row r="8" spans="1:14">
      <c r="A8" s="4">
        <v>1006</v>
      </c>
      <c r="B8" s="5" t="s">
        <v>26</v>
      </c>
      <c r="C8" s="5" t="s">
        <v>9</v>
      </c>
      <c r="D8" s="5" t="s">
        <v>1</v>
      </c>
      <c r="E8" s="1">
        <v>8.6999999999999993</v>
      </c>
      <c r="F8" s="1">
        <v>13.8</v>
      </c>
      <c r="G8" s="1">
        <v>11</v>
      </c>
      <c r="H8" s="7" t="str">
        <f t="shared" si="0"/>
        <v>km/l</v>
      </c>
      <c r="I8" s="1" cm="1">
        <f t="array" ref="I8">_xlfn.IFS(D8="GASOLINA",24,D8="HIBRIDO",24,D8="ELÉCTRICO",5,D8="DIESEL",27)</f>
        <v>24</v>
      </c>
      <c r="J8" s="1">
        <v>273.8</v>
      </c>
      <c r="K8" s="1">
        <v>171.2</v>
      </c>
      <c r="L8" s="1">
        <v>227.6</v>
      </c>
      <c r="M8" t="s">
        <v>34</v>
      </c>
      <c r="N8" s="5" t="s">
        <v>10</v>
      </c>
    </row>
    <row r="9" spans="1:14">
      <c r="A9" s="4">
        <v>1007</v>
      </c>
      <c r="B9" s="5" t="s">
        <v>26</v>
      </c>
      <c r="C9" s="5" t="s">
        <v>11</v>
      </c>
      <c r="D9" s="5" t="s">
        <v>1</v>
      </c>
      <c r="E9" s="1">
        <v>9.9</v>
      </c>
      <c r="F9" s="1">
        <v>12.6</v>
      </c>
      <c r="G9" s="1">
        <v>11.1</v>
      </c>
      <c r="H9" s="7" t="str">
        <f t="shared" si="0"/>
        <v>km/l</v>
      </c>
      <c r="I9" s="1" cm="1">
        <f t="array" ref="I9">_xlfn.IFS(D9="GASOLINA",24,D9="HIBRIDO",24,D9="ELÉCTRICO",5,D9="DIESEL",27)</f>
        <v>24</v>
      </c>
      <c r="J9" s="1">
        <v>239.9</v>
      </c>
      <c r="K9" s="1">
        <v>187</v>
      </c>
      <c r="L9" s="1">
        <v>216.1</v>
      </c>
      <c r="M9" t="s">
        <v>34</v>
      </c>
      <c r="N9" s="5" t="s">
        <v>10</v>
      </c>
    </row>
    <row r="10" spans="1:14">
      <c r="A10" s="4">
        <v>1008</v>
      </c>
      <c r="B10" s="5" t="s">
        <v>26</v>
      </c>
      <c r="C10" s="5" t="s">
        <v>12</v>
      </c>
      <c r="D10" s="5" t="s">
        <v>1</v>
      </c>
      <c r="E10" s="1">
        <v>8.6999999999999993</v>
      </c>
      <c r="F10" s="1">
        <v>13</v>
      </c>
      <c r="G10" s="1">
        <v>10.6</v>
      </c>
      <c r="H10" s="7" t="str">
        <f t="shared" si="0"/>
        <v>km/l</v>
      </c>
      <c r="I10" s="1" cm="1">
        <f t="array" ref="I10">_xlfn.IFS(D10="GASOLINA",24,D10="HIBRIDO",24,D10="ELÉCTRICO",5,D10="DIESEL",27)</f>
        <v>24</v>
      </c>
      <c r="J10" s="1">
        <v>237.5</v>
      </c>
      <c r="K10" s="1">
        <v>181.7</v>
      </c>
      <c r="L10" s="1">
        <v>212.4</v>
      </c>
      <c r="M10" t="s">
        <v>34</v>
      </c>
      <c r="N10" s="5" t="s">
        <v>10</v>
      </c>
    </row>
    <row r="11" spans="1:14">
      <c r="A11" s="4">
        <v>1009</v>
      </c>
      <c r="B11" s="5" t="s">
        <v>26</v>
      </c>
      <c r="C11" s="5" t="s">
        <v>13</v>
      </c>
      <c r="D11" s="5" t="s">
        <v>1</v>
      </c>
      <c r="E11" s="1">
        <v>11.2</v>
      </c>
      <c r="F11" s="1">
        <v>16.3</v>
      </c>
      <c r="G11" s="1">
        <v>13.5</v>
      </c>
      <c r="H11" s="7" t="str">
        <f t="shared" si="0"/>
        <v>km/l</v>
      </c>
      <c r="I11" s="1" cm="1">
        <f t="array" ref="I11">_xlfn.IFS(D11="GASOLINA",24,D11="HIBRIDO",24,D11="ELÉCTRICO",5,D11="DIESEL",27)</f>
        <v>24</v>
      </c>
      <c r="J11" s="1">
        <v>211.2</v>
      </c>
      <c r="K11" s="1">
        <v>144.5</v>
      </c>
      <c r="L11" s="1">
        <v>181.2</v>
      </c>
      <c r="M11" t="s">
        <v>34</v>
      </c>
      <c r="N11" s="5" t="s">
        <v>4</v>
      </c>
    </row>
    <row r="12" spans="1:14">
      <c r="A12" s="4">
        <v>1010</v>
      </c>
      <c r="B12" s="5" t="s">
        <v>26</v>
      </c>
      <c r="C12" s="5" t="s">
        <v>14</v>
      </c>
      <c r="D12" s="5" t="s">
        <v>15</v>
      </c>
      <c r="E12" s="1">
        <v>7.3</v>
      </c>
      <c r="F12" s="1">
        <v>7.3</v>
      </c>
      <c r="G12" s="1">
        <v>7.3</v>
      </c>
      <c r="H12" s="7" t="str">
        <f t="shared" si="0"/>
        <v>km/kwh</v>
      </c>
      <c r="I12" s="1" cm="1">
        <f t="array" ref="I12">_xlfn.IFS(D12="GASOLINA",24,D12="HIBRIDO",24,D12="ELÉCTRICO",5,D12="DIESEL",27)</f>
        <v>5</v>
      </c>
      <c r="J12" s="1">
        <v>0</v>
      </c>
      <c r="K12" s="1">
        <v>0</v>
      </c>
      <c r="L12" s="1">
        <v>0</v>
      </c>
      <c r="M12" t="s">
        <v>89</v>
      </c>
      <c r="N12" s="5" t="s">
        <v>10</v>
      </c>
    </row>
    <row r="13" spans="1:14">
      <c r="A13" s="4">
        <v>1011</v>
      </c>
      <c r="B13" s="5" t="s">
        <v>26</v>
      </c>
      <c r="C13" s="5" t="s">
        <v>16</v>
      </c>
      <c r="D13" s="5" t="s">
        <v>17</v>
      </c>
      <c r="E13" s="1">
        <v>15.5</v>
      </c>
      <c r="F13" s="1">
        <v>13.1</v>
      </c>
      <c r="G13" s="1">
        <v>14.4</v>
      </c>
      <c r="H13" s="7" t="str">
        <f t="shared" si="0"/>
        <v>km/l</v>
      </c>
      <c r="I13" s="1" cm="1">
        <f t="array" ref="I13">_xlfn.IFS(D13="GASOLINA",24,D13="HIBRIDO",24,D13="ELÉCTRICO",5,D13="DIESEL",27)</f>
        <v>24</v>
      </c>
      <c r="J13" s="1">
        <v>153.1</v>
      </c>
      <c r="K13" s="1">
        <v>181.3</v>
      </c>
      <c r="L13" s="1">
        <v>165.8</v>
      </c>
      <c r="M13" t="s">
        <v>34</v>
      </c>
      <c r="N13" s="5" t="s">
        <v>18</v>
      </c>
    </row>
    <row r="14" spans="1:14">
      <c r="A14" s="4">
        <v>1012</v>
      </c>
      <c r="B14" s="5" t="s">
        <v>26</v>
      </c>
      <c r="C14" s="5" t="s">
        <v>19</v>
      </c>
      <c r="D14" s="5" t="s">
        <v>17</v>
      </c>
      <c r="E14" s="1">
        <v>16.7</v>
      </c>
      <c r="F14" s="1">
        <v>12.6</v>
      </c>
      <c r="G14" s="1">
        <v>14.9</v>
      </c>
      <c r="H14" s="7" t="str">
        <f t="shared" si="0"/>
        <v>km/l</v>
      </c>
      <c r="I14" s="1" cm="1">
        <f t="array" ref="I14">_xlfn.IFS(D14="GASOLINA",24,D14="HIBRIDO",24,D14="ELÉCTRICO",5,D14="DIESEL",27)</f>
        <v>24</v>
      </c>
      <c r="J14" s="1">
        <v>141.80000000000001</v>
      </c>
      <c r="K14" s="1">
        <v>188.9</v>
      </c>
      <c r="L14" s="1">
        <v>163</v>
      </c>
      <c r="M14" t="s">
        <v>34</v>
      </c>
      <c r="N14" s="5" t="s">
        <v>18</v>
      </c>
    </row>
    <row r="15" spans="1:14">
      <c r="A15" s="4">
        <v>1013</v>
      </c>
      <c r="B15" s="5" t="s">
        <v>48</v>
      </c>
      <c r="C15" s="5" t="s">
        <v>33</v>
      </c>
      <c r="D15" s="5" t="s">
        <v>1</v>
      </c>
      <c r="E15" s="1">
        <v>14.3</v>
      </c>
      <c r="F15" s="1">
        <v>18.600000000000001</v>
      </c>
      <c r="G15" s="1">
        <v>16</v>
      </c>
      <c r="H15" s="7" t="str">
        <f t="shared" si="0"/>
        <v>km/l</v>
      </c>
      <c r="I15" s="1" cm="1">
        <f t="array" ref="I15">_xlfn.IFS(D15="GASOLINA",24,D15="HIBRIDO",24,D15="ELÉCTRICO",5,D15="DIESEL",27)</f>
        <v>24</v>
      </c>
      <c r="J15" s="1">
        <v>164</v>
      </c>
      <c r="K15" s="1">
        <v>126</v>
      </c>
      <c r="L15" s="1">
        <v>145</v>
      </c>
      <c r="M15" t="s">
        <v>34</v>
      </c>
      <c r="N15" s="5" t="s">
        <v>5</v>
      </c>
    </row>
    <row r="16" spans="1:14">
      <c r="A16" s="4">
        <v>1014</v>
      </c>
      <c r="B16" s="5" t="s">
        <v>48</v>
      </c>
      <c r="C16" s="5" t="s">
        <v>35</v>
      </c>
      <c r="D16" s="5" t="s">
        <v>1</v>
      </c>
      <c r="E16" s="1">
        <v>14.3</v>
      </c>
      <c r="F16" s="1">
        <v>18.600000000000001</v>
      </c>
      <c r="G16" s="1">
        <v>16</v>
      </c>
      <c r="H16" s="7" t="str">
        <f t="shared" si="0"/>
        <v>km/l</v>
      </c>
      <c r="I16" s="1" cm="1">
        <f t="array" ref="I16">_xlfn.IFS(D16="GASOLINA",24,D16="HIBRIDO",24,D16="ELÉCTRICO",5,D16="DIESEL",27)</f>
        <v>24</v>
      </c>
      <c r="J16" s="1">
        <v>164</v>
      </c>
      <c r="K16" s="1">
        <v>126</v>
      </c>
      <c r="L16" s="1">
        <v>145</v>
      </c>
      <c r="M16" t="s">
        <v>34</v>
      </c>
      <c r="N16" s="5" t="s">
        <v>5</v>
      </c>
    </row>
    <row r="17" spans="1:14">
      <c r="A17" s="4">
        <v>1015</v>
      </c>
      <c r="B17" s="5" t="s">
        <v>48</v>
      </c>
      <c r="C17" s="5" t="s">
        <v>36</v>
      </c>
      <c r="D17" s="5" t="s">
        <v>1</v>
      </c>
      <c r="E17" s="1">
        <v>11.3</v>
      </c>
      <c r="F17" s="1">
        <v>16.899999999999999</v>
      </c>
      <c r="G17" s="1">
        <v>13.8</v>
      </c>
      <c r="H17" s="7" t="str">
        <f t="shared" si="0"/>
        <v>km/l</v>
      </c>
      <c r="I17" s="1" cm="1">
        <f t="array" ref="I17">_xlfn.IFS(D17="GASOLINA",24,D17="HIBRIDO",24,D17="ELÉCTRICO",5,D17="DIESEL",27)</f>
        <v>24</v>
      </c>
      <c r="J17" s="1">
        <v>207</v>
      </c>
      <c r="K17" s="1">
        <v>138</v>
      </c>
      <c r="L17" s="1">
        <v>176</v>
      </c>
      <c r="M17" t="s">
        <v>34</v>
      </c>
      <c r="N17" s="5" t="s">
        <v>2</v>
      </c>
    </row>
    <row r="18" spans="1:14">
      <c r="A18" s="4">
        <v>1016</v>
      </c>
      <c r="B18" s="5" t="s">
        <v>48</v>
      </c>
      <c r="C18" s="5" t="s">
        <v>37</v>
      </c>
      <c r="D18" s="5" t="s">
        <v>1</v>
      </c>
      <c r="E18" s="1">
        <v>16</v>
      </c>
      <c r="F18" s="1">
        <v>22.3</v>
      </c>
      <c r="G18" s="1">
        <v>18.3</v>
      </c>
      <c r="H18" s="7" t="str">
        <f t="shared" si="0"/>
        <v>km/l</v>
      </c>
      <c r="I18" s="1" cm="1">
        <f t="array" ref="I18">_xlfn.IFS(D18="GASOLINA",24,D18="HIBRIDO",24,D18="ELÉCTRICO",5,D18="DIESEL",27)</f>
        <v>24</v>
      </c>
      <c r="J18" s="1">
        <v>145</v>
      </c>
      <c r="K18" s="1">
        <v>104</v>
      </c>
      <c r="L18" s="1">
        <v>126</v>
      </c>
      <c r="M18" t="s">
        <v>34</v>
      </c>
      <c r="N18" s="5" t="s">
        <v>5</v>
      </c>
    </row>
    <row r="19" spans="1:14">
      <c r="A19" s="4">
        <v>1017</v>
      </c>
      <c r="B19" s="5" t="s">
        <v>48</v>
      </c>
      <c r="C19" s="5" t="s">
        <v>38</v>
      </c>
      <c r="D19" s="5" t="s">
        <v>1</v>
      </c>
      <c r="E19" s="1">
        <v>16</v>
      </c>
      <c r="F19" s="1">
        <v>22.3</v>
      </c>
      <c r="G19" s="1">
        <v>18.3</v>
      </c>
      <c r="H19" s="7" t="str">
        <f t="shared" si="0"/>
        <v>km/l</v>
      </c>
      <c r="I19" s="1" cm="1">
        <f t="array" ref="I19">_xlfn.IFS(D19="GASOLINA",24,D19="HIBRIDO",24,D19="ELÉCTRICO",5,D19="DIESEL",27)</f>
        <v>24</v>
      </c>
      <c r="J19" s="1">
        <v>145</v>
      </c>
      <c r="K19" s="1">
        <v>104</v>
      </c>
      <c r="L19" s="1">
        <v>126</v>
      </c>
      <c r="M19" t="s">
        <v>34</v>
      </c>
      <c r="N19" s="5" t="s">
        <v>5</v>
      </c>
    </row>
    <row r="20" spans="1:14">
      <c r="A20" s="4">
        <v>1018</v>
      </c>
      <c r="B20" s="5" t="s">
        <v>48</v>
      </c>
      <c r="C20" s="5" t="s">
        <v>39</v>
      </c>
      <c r="D20" s="5" t="s">
        <v>1</v>
      </c>
      <c r="E20" s="1">
        <v>9.1</v>
      </c>
      <c r="F20" s="1">
        <v>13.3</v>
      </c>
      <c r="G20" s="1">
        <v>10.6</v>
      </c>
      <c r="H20" s="7" t="str">
        <f t="shared" si="0"/>
        <v>km/l</v>
      </c>
      <c r="I20" s="1" cm="1">
        <f t="array" ref="I20">_xlfn.IFS(D20="GASOLINA",24,D20="HIBRIDO",24,D20="ELÉCTRICO",5,D20="DIESEL",27)</f>
        <v>24</v>
      </c>
      <c r="J20" s="1">
        <v>257</v>
      </c>
      <c r="K20" s="1">
        <v>176</v>
      </c>
      <c r="L20" s="1">
        <v>188</v>
      </c>
      <c r="M20" t="s">
        <v>40</v>
      </c>
      <c r="N20" s="5" t="s">
        <v>10</v>
      </c>
    </row>
    <row r="21" spans="1:14">
      <c r="A21" s="4">
        <v>1019</v>
      </c>
      <c r="B21" s="5" t="s">
        <v>48</v>
      </c>
      <c r="C21" s="5" t="s">
        <v>41</v>
      </c>
      <c r="D21" s="5" t="s">
        <v>1</v>
      </c>
      <c r="E21" s="1">
        <v>10.3</v>
      </c>
      <c r="F21" s="1">
        <v>14.8</v>
      </c>
      <c r="G21" s="1">
        <v>11.9</v>
      </c>
      <c r="H21" s="7" t="str">
        <f t="shared" si="0"/>
        <v>km/l</v>
      </c>
      <c r="I21" s="1" cm="1">
        <f t="array" ref="I21">_xlfn.IFS(D21="GASOLINA",24,D21="HIBRIDO",24,D21="ELÉCTRICO",5,D21="DIESEL",27)</f>
        <v>24</v>
      </c>
      <c r="J21" s="1">
        <v>225</v>
      </c>
      <c r="K21" s="1">
        <v>158</v>
      </c>
      <c r="L21" s="1">
        <v>195</v>
      </c>
      <c r="M21" t="s">
        <v>40</v>
      </c>
      <c r="N21" s="5" t="s">
        <v>10</v>
      </c>
    </row>
    <row r="22" spans="1:14">
      <c r="A22" s="4">
        <v>1020</v>
      </c>
      <c r="B22" s="5" t="s">
        <v>48</v>
      </c>
      <c r="C22" s="5" t="s">
        <v>42</v>
      </c>
      <c r="D22" s="5" t="s">
        <v>1</v>
      </c>
      <c r="E22" s="1">
        <v>10.4</v>
      </c>
      <c r="F22" s="1">
        <v>15.7</v>
      </c>
      <c r="G22" s="1">
        <v>12.8</v>
      </c>
      <c r="H22" s="7" t="str">
        <f t="shared" si="0"/>
        <v>km/l</v>
      </c>
      <c r="I22" s="1" cm="1">
        <f t="array" ref="I22">_xlfn.IFS(D22="GASOLINA",24,D22="HIBRIDO",24,D22="ELÉCTRICO",5,D22="DIESEL",27)</f>
        <v>24</v>
      </c>
      <c r="J22" s="1">
        <v>225</v>
      </c>
      <c r="K22" s="1">
        <v>148</v>
      </c>
      <c r="L22" s="1">
        <v>181</v>
      </c>
      <c r="M22" t="s">
        <v>34</v>
      </c>
      <c r="N22" s="5" t="s">
        <v>10</v>
      </c>
    </row>
    <row r="23" spans="1:14">
      <c r="A23" s="4">
        <v>1021</v>
      </c>
      <c r="B23" s="5" t="s">
        <v>48</v>
      </c>
      <c r="C23" s="5" t="s">
        <v>43</v>
      </c>
      <c r="D23" s="5" t="s">
        <v>1</v>
      </c>
      <c r="E23" s="1">
        <v>10.4</v>
      </c>
      <c r="F23" s="1">
        <v>15.7</v>
      </c>
      <c r="G23" s="1">
        <v>12.8</v>
      </c>
      <c r="H23" s="7" t="str">
        <f t="shared" si="0"/>
        <v>km/l</v>
      </c>
      <c r="I23" s="1" cm="1">
        <f t="array" ref="I23">_xlfn.IFS(D23="GASOLINA",24,D23="HIBRIDO",24,D23="ELÉCTRICO",5,D23="DIESEL",27)</f>
        <v>24</v>
      </c>
      <c r="J23" s="1">
        <v>225</v>
      </c>
      <c r="K23" s="1">
        <v>148</v>
      </c>
      <c r="L23" s="1">
        <v>181</v>
      </c>
      <c r="M23" t="s">
        <v>34</v>
      </c>
      <c r="N23" s="5" t="s">
        <v>10</v>
      </c>
    </row>
    <row r="24" spans="1:14">
      <c r="A24" s="4">
        <v>1022</v>
      </c>
      <c r="B24" s="5" t="s">
        <v>48</v>
      </c>
      <c r="C24" s="5" t="s">
        <v>44</v>
      </c>
      <c r="D24" s="5" t="s">
        <v>1</v>
      </c>
      <c r="E24" s="1">
        <v>10.199999999999999</v>
      </c>
      <c r="F24" s="1">
        <v>15</v>
      </c>
      <c r="G24" s="1">
        <v>11.9</v>
      </c>
      <c r="H24" s="7" t="str">
        <f t="shared" si="0"/>
        <v>km/l</v>
      </c>
      <c r="I24" s="1" cm="1">
        <f t="array" ref="I24">_xlfn.IFS(D24="GASOLINA",24,D24="HIBRIDO",24,D24="ELÉCTRICO",5,D24="DIESEL",27)</f>
        <v>24</v>
      </c>
      <c r="J24" s="1">
        <v>229</v>
      </c>
      <c r="K24" s="1">
        <v>156</v>
      </c>
      <c r="L24" s="1">
        <v>195</v>
      </c>
      <c r="M24" t="s">
        <v>40</v>
      </c>
      <c r="N24" s="5" t="s">
        <v>10</v>
      </c>
    </row>
    <row r="25" spans="1:14">
      <c r="A25" s="4">
        <v>1023</v>
      </c>
      <c r="B25" s="5" t="s">
        <v>48</v>
      </c>
      <c r="C25" s="5" t="s">
        <v>45</v>
      </c>
      <c r="D25" s="5" t="s">
        <v>1</v>
      </c>
      <c r="E25" s="1">
        <v>11.4</v>
      </c>
      <c r="F25" s="1">
        <v>17.899999999999999</v>
      </c>
      <c r="G25" s="1">
        <v>14.3</v>
      </c>
      <c r="H25" s="7" t="str">
        <f t="shared" si="0"/>
        <v>km/l</v>
      </c>
      <c r="I25" s="1" cm="1">
        <f t="array" ref="I25">_xlfn.IFS(D25="GASOLINA",24,D25="HIBRIDO",24,D25="ELÉCTRICO",5,D25="DIESEL",27)</f>
        <v>24</v>
      </c>
      <c r="J25" s="1">
        <v>194</v>
      </c>
      <c r="K25" s="1">
        <v>119</v>
      </c>
      <c r="L25" s="1">
        <v>151</v>
      </c>
      <c r="M25" t="s">
        <v>34</v>
      </c>
      <c r="N25" s="5" t="s">
        <v>10</v>
      </c>
    </row>
    <row r="26" spans="1:14">
      <c r="A26" s="4">
        <v>1024</v>
      </c>
      <c r="B26" s="5" t="s">
        <v>49</v>
      </c>
      <c r="C26" s="5" t="s">
        <v>50</v>
      </c>
      <c r="D26" s="5" t="s">
        <v>17</v>
      </c>
      <c r="E26" s="1">
        <v>10.4</v>
      </c>
      <c r="F26" s="1">
        <v>12.7</v>
      </c>
      <c r="G26" s="1">
        <v>11.3</v>
      </c>
      <c r="H26" s="7" t="str">
        <f t="shared" si="0"/>
        <v>km/l</v>
      </c>
      <c r="I26" s="1" cm="1">
        <f t="array" ref="I26">_xlfn.IFS(D26="GASOLINA",24,D26="HIBRIDO",24,D26="ELÉCTRICO",5,D26="DIESEL",27)</f>
        <v>24</v>
      </c>
      <c r="J26" s="1">
        <v>226</v>
      </c>
      <c r="K26" s="1">
        <v>184</v>
      </c>
      <c r="L26" s="1">
        <v>207</v>
      </c>
      <c r="M26" t="s">
        <v>40</v>
      </c>
      <c r="N26" s="5" t="s">
        <v>10</v>
      </c>
    </row>
    <row r="27" spans="1:14">
      <c r="A27" s="4">
        <v>1025</v>
      </c>
      <c r="B27" s="5" t="s">
        <v>49</v>
      </c>
      <c r="C27" s="5" t="s">
        <v>51</v>
      </c>
      <c r="D27" s="5" t="s">
        <v>17</v>
      </c>
      <c r="E27" s="1">
        <v>10.4</v>
      </c>
      <c r="F27" s="1">
        <v>12.7</v>
      </c>
      <c r="G27" s="1">
        <v>11.3</v>
      </c>
      <c r="H27" s="7" t="str">
        <f t="shared" si="0"/>
        <v>km/l</v>
      </c>
      <c r="I27" s="1" cm="1">
        <f t="array" ref="I27">_xlfn.IFS(D27="GASOLINA",24,D27="HIBRIDO",24,D27="ELÉCTRICO",5,D27="DIESEL",27)</f>
        <v>24</v>
      </c>
      <c r="J27" s="1">
        <v>226</v>
      </c>
      <c r="K27" s="1">
        <v>184</v>
      </c>
      <c r="L27" s="1">
        <v>207</v>
      </c>
      <c r="M27" t="s">
        <v>40</v>
      </c>
      <c r="N27" s="5" t="s">
        <v>10</v>
      </c>
    </row>
    <row r="28" spans="1:14">
      <c r="A28" s="4">
        <v>1026</v>
      </c>
      <c r="B28" s="5" t="s">
        <v>49</v>
      </c>
      <c r="C28" s="5" t="s">
        <v>52</v>
      </c>
      <c r="D28" s="5" t="s">
        <v>17</v>
      </c>
      <c r="E28" s="1">
        <v>9.1999999999999993</v>
      </c>
      <c r="F28" s="1">
        <v>15</v>
      </c>
      <c r="G28" s="1">
        <v>11.2</v>
      </c>
      <c r="H28" s="7" t="str">
        <f t="shared" si="0"/>
        <v>km/l</v>
      </c>
      <c r="I28" s="1" cm="1">
        <f t="array" ref="I28">_xlfn.IFS(D28="GASOLINA",24,D28="HIBRIDO",24,D28="ELÉCTRICO",5,D28="DIESEL",27)</f>
        <v>24</v>
      </c>
      <c r="J28" s="1">
        <v>254</v>
      </c>
      <c r="K28" s="1">
        <v>156</v>
      </c>
      <c r="L28" s="1">
        <v>210</v>
      </c>
      <c r="M28" t="s">
        <v>40</v>
      </c>
      <c r="N28" s="5" t="s">
        <v>10</v>
      </c>
    </row>
    <row r="29" spans="1:14">
      <c r="A29" s="4">
        <v>1027</v>
      </c>
      <c r="B29" s="5" t="s">
        <v>49</v>
      </c>
      <c r="C29" s="5" t="s">
        <v>53</v>
      </c>
      <c r="D29" s="5" t="s">
        <v>17</v>
      </c>
      <c r="E29" s="1">
        <v>9.1999999999999993</v>
      </c>
      <c r="F29" s="1">
        <v>15.1</v>
      </c>
      <c r="G29" s="1">
        <v>11.1</v>
      </c>
      <c r="H29" s="7" t="str">
        <f t="shared" si="0"/>
        <v>km/l</v>
      </c>
      <c r="I29" s="1" cm="1">
        <f t="array" ref="I29">_xlfn.IFS(D29="GASOLINA",24,D29="HIBRIDO",24,D29="ELÉCTRICO",5,D29="DIESEL",27)</f>
        <v>24</v>
      </c>
      <c r="J29" s="1">
        <v>256</v>
      </c>
      <c r="K29" s="1">
        <v>155</v>
      </c>
      <c r="L29" s="1">
        <v>210</v>
      </c>
      <c r="M29" t="s">
        <v>40</v>
      </c>
      <c r="N29" s="5" t="s">
        <v>10</v>
      </c>
    </row>
    <row r="30" spans="1:14">
      <c r="A30" s="4">
        <v>1028</v>
      </c>
      <c r="B30" s="5" t="s">
        <v>49</v>
      </c>
      <c r="C30" s="5" t="s">
        <v>54</v>
      </c>
      <c r="D30" s="5" t="s">
        <v>17</v>
      </c>
      <c r="E30" s="1">
        <v>8.9</v>
      </c>
      <c r="F30" s="1">
        <v>14.9</v>
      </c>
      <c r="G30" s="1">
        <v>10.9</v>
      </c>
      <c r="H30" s="7" t="str">
        <f t="shared" si="0"/>
        <v>km/l</v>
      </c>
      <c r="I30" s="1" cm="1">
        <f t="array" ref="I30">_xlfn.IFS(D30="GASOLINA",24,D30="HIBRIDO",24,D30="ELÉCTRICO",5,D30="DIESEL",27)</f>
        <v>24</v>
      </c>
      <c r="J30" s="1">
        <v>262</v>
      </c>
      <c r="K30" s="1">
        <v>158</v>
      </c>
      <c r="L30" s="1">
        <v>215</v>
      </c>
      <c r="M30" t="s">
        <v>40</v>
      </c>
      <c r="N30" s="5" t="s">
        <v>10</v>
      </c>
    </row>
    <row r="31" spans="1:14">
      <c r="A31" s="4">
        <v>1029</v>
      </c>
      <c r="B31" s="5" t="s">
        <v>49</v>
      </c>
      <c r="C31" s="5" t="s">
        <v>55</v>
      </c>
      <c r="D31" s="5" t="s">
        <v>17</v>
      </c>
      <c r="E31" s="1">
        <v>9.1</v>
      </c>
      <c r="F31" s="1">
        <v>13.6</v>
      </c>
      <c r="G31" s="1">
        <v>10.7</v>
      </c>
      <c r="H31" s="7" t="str">
        <f t="shared" si="0"/>
        <v>km/l</v>
      </c>
      <c r="I31" s="1" cm="1">
        <f t="array" ref="I31">_xlfn.IFS(D31="GASOLINA",24,D31="HIBRIDO",24,D31="ELÉCTRICO",5,D31="DIESEL",27)</f>
        <v>24</v>
      </c>
      <c r="J31" s="1">
        <v>258</v>
      </c>
      <c r="K31" s="1">
        <v>172</v>
      </c>
      <c r="L31" s="1">
        <v>219</v>
      </c>
      <c r="M31" t="s">
        <v>40</v>
      </c>
      <c r="N31" s="5" t="s">
        <v>10</v>
      </c>
    </row>
    <row r="32" spans="1:14">
      <c r="A32" s="4">
        <v>1030</v>
      </c>
      <c r="B32" s="5" t="s">
        <v>49</v>
      </c>
      <c r="C32" s="5" t="s">
        <v>56</v>
      </c>
      <c r="D32" s="5" t="s">
        <v>17</v>
      </c>
      <c r="E32" s="1">
        <v>9.4</v>
      </c>
      <c r="F32" s="1">
        <v>12.6</v>
      </c>
      <c r="G32" s="1">
        <v>10.6</v>
      </c>
      <c r="H32" s="7" t="str">
        <f t="shared" si="0"/>
        <v>km/l</v>
      </c>
      <c r="I32" s="1" cm="1">
        <f t="array" ref="I32">_xlfn.IFS(D32="GASOLINA",24,D32="HIBRIDO",24,D32="ELÉCTRICO",5,D32="DIESEL",27)</f>
        <v>24</v>
      </c>
      <c r="J32" s="1">
        <v>250</v>
      </c>
      <c r="K32" s="1">
        <v>186</v>
      </c>
      <c r="L32" s="1">
        <v>221</v>
      </c>
      <c r="M32" t="s">
        <v>40</v>
      </c>
      <c r="N32" s="5" t="s">
        <v>10</v>
      </c>
    </row>
    <row r="33" spans="1:14">
      <c r="A33" s="4">
        <v>1031</v>
      </c>
      <c r="B33" s="5" t="s">
        <v>49</v>
      </c>
      <c r="C33" s="5" t="s">
        <v>58</v>
      </c>
      <c r="D33" s="5" t="s">
        <v>17</v>
      </c>
      <c r="E33" s="1">
        <v>8.4</v>
      </c>
      <c r="F33" s="1">
        <v>14.4</v>
      </c>
      <c r="G33" s="1">
        <v>10.3</v>
      </c>
      <c r="H33" s="7" t="str">
        <f t="shared" si="0"/>
        <v>km/l</v>
      </c>
      <c r="I33" s="1" cm="1">
        <f t="array" ref="I33">_xlfn.IFS(D33="GASOLINA",24,D33="HIBRIDO",24,D33="ELÉCTRICO",5,D33="DIESEL",27)</f>
        <v>24</v>
      </c>
      <c r="J33" s="1">
        <v>279</v>
      </c>
      <c r="K33" s="1">
        <v>163</v>
      </c>
      <c r="L33" s="1">
        <v>226</v>
      </c>
      <c r="M33" t="s">
        <v>230</v>
      </c>
      <c r="N33" s="5" t="s">
        <v>10</v>
      </c>
    </row>
    <row r="34" spans="1:14">
      <c r="A34" s="4">
        <v>1032</v>
      </c>
      <c r="B34" s="5" t="s">
        <v>49</v>
      </c>
      <c r="C34" s="5" t="s">
        <v>59</v>
      </c>
      <c r="D34" s="5" t="s">
        <v>17</v>
      </c>
      <c r="E34" s="1">
        <v>8.4</v>
      </c>
      <c r="F34" s="1">
        <v>12.8</v>
      </c>
      <c r="G34" s="1">
        <v>9.9</v>
      </c>
      <c r="H34" s="7" t="str">
        <f t="shared" si="0"/>
        <v>km/l</v>
      </c>
      <c r="I34" s="1" cm="1">
        <f t="array" ref="I34">_xlfn.IFS(D34="GASOLINA",24,D34="HIBRIDO",24,D34="ELÉCTRICO",5,D34="DIESEL",27)</f>
        <v>24</v>
      </c>
      <c r="J34" s="1">
        <v>281</v>
      </c>
      <c r="K34" s="1">
        <v>183</v>
      </c>
      <c r="L34" s="1">
        <v>237</v>
      </c>
      <c r="M34" t="s">
        <v>230</v>
      </c>
      <c r="N34" s="5" t="s">
        <v>10</v>
      </c>
    </row>
    <row r="35" spans="1:14">
      <c r="A35" s="4">
        <v>1033</v>
      </c>
      <c r="B35" s="5" t="s">
        <v>49</v>
      </c>
      <c r="C35" s="5" t="s">
        <v>60</v>
      </c>
      <c r="D35" s="5" t="s">
        <v>17</v>
      </c>
      <c r="E35" s="1">
        <v>8</v>
      </c>
      <c r="F35" s="1">
        <v>13.4</v>
      </c>
      <c r="G35" s="1">
        <v>9.8000000000000007</v>
      </c>
      <c r="H35" s="7" t="str">
        <f t="shared" si="0"/>
        <v>km/l</v>
      </c>
      <c r="I35" s="1" cm="1">
        <f t="array" ref="I35">_xlfn.IFS(D35="GASOLINA",24,D35="HIBRIDO",24,D35="ELÉCTRICO",5,D35="DIESEL",27)</f>
        <v>24</v>
      </c>
      <c r="J35" s="1">
        <v>292</v>
      </c>
      <c r="K35" s="1">
        <v>175</v>
      </c>
      <c r="L35" s="1">
        <v>239</v>
      </c>
      <c r="M35" t="s">
        <v>230</v>
      </c>
      <c r="N35" s="5" t="s">
        <v>10</v>
      </c>
    </row>
    <row r="36" spans="1:14">
      <c r="A36" s="4">
        <v>1034</v>
      </c>
      <c r="B36" s="5" t="s">
        <v>49</v>
      </c>
      <c r="C36" s="5" t="s">
        <v>61</v>
      </c>
      <c r="D36" s="5" t="s">
        <v>1</v>
      </c>
      <c r="E36" s="1">
        <v>7.5</v>
      </c>
      <c r="F36" s="1">
        <v>11.9</v>
      </c>
      <c r="G36" s="1">
        <v>9</v>
      </c>
      <c r="H36" s="7" t="str">
        <f t="shared" si="0"/>
        <v>km/l</v>
      </c>
      <c r="I36" s="1" cm="1">
        <f t="array" ref="I36">_xlfn.IFS(D36="GASOLINA",24,D36="HIBRIDO",24,D36="ELÉCTRICO",5,D36="DIESEL",27)</f>
        <v>24</v>
      </c>
      <c r="J36" s="1">
        <v>312</v>
      </c>
      <c r="K36" s="1">
        <v>198</v>
      </c>
      <c r="L36" s="1">
        <v>260</v>
      </c>
      <c r="M36" t="s">
        <v>230</v>
      </c>
      <c r="N36" s="5" t="s">
        <v>10</v>
      </c>
    </row>
    <row r="37" spans="1:14">
      <c r="A37" s="4">
        <v>1035</v>
      </c>
      <c r="B37" s="5" t="s">
        <v>49</v>
      </c>
      <c r="C37" s="5" t="s">
        <v>62</v>
      </c>
      <c r="D37" s="5" t="s">
        <v>17</v>
      </c>
      <c r="E37" s="1">
        <v>7.5</v>
      </c>
      <c r="F37" s="1">
        <v>11.5</v>
      </c>
      <c r="G37" s="1">
        <v>8.9</v>
      </c>
      <c r="H37" s="7" t="str">
        <f t="shared" si="0"/>
        <v>km/l</v>
      </c>
      <c r="I37" s="1" cm="1">
        <f t="array" ref="I37">_xlfn.IFS(D37="GASOLINA",24,D37="HIBRIDO",24,D37="ELÉCTRICO",5,D37="DIESEL",27)</f>
        <v>24</v>
      </c>
      <c r="J37" s="1">
        <v>311</v>
      </c>
      <c r="K37" s="1">
        <v>204</v>
      </c>
      <c r="L37" s="1">
        <v>263</v>
      </c>
      <c r="M37" t="s">
        <v>230</v>
      </c>
      <c r="N37" s="5" t="s">
        <v>10</v>
      </c>
    </row>
    <row r="38" spans="1:14">
      <c r="A38" s="4">
        <v>1036</v>
      </c>
      <c r="B38" s="5" t="s">
        <v>49</v>
      </c>
      <c r="C38" s="5" t="s">
        <v>63</v>
      </c>
      <c r="D38" s="5" t="s">
        <v>1</v>
      </c>
      <c r="E38" s="1">
        <v>7.4</v>
      </c>
      <c r="F38" s="1">
        <v>11.9</v>
      </c>
      <c r="G38" s="1">
        <v>8.9</v>
      </c>
      <c r="H38" s="7" t="str">
        <f t="shared" si="0"/>
        <v>km/l</v>
      </c>
      <c r="I38" s="1" cm="1">
        <f t="array" ref="I38">_xlfn.IFS(D38="GASOLINA",24,D38="HIBRIDO",24,D38="ELÉCTRICO",5,D38="DIESEL",27)</f>
        <v>24</v>
      </c>
      <c r="J38" s="1">
        <v>317</v>
      </c>
      <c r="K38" s="1">
        <v>198</v>
      </c>
      <c r="L38" s="1">
        <v>263</v>
      </c>
      <c r="M38" t="s">
        <v>230</v>
      </c>
      <c r="N38" s="5" t="s">
        <v>10</v>
      </c>
    </row>
    <row r="39" spans="1:14">
      <c r="A39" s="4">
        <v>1037</v>
      </c>
      <c r="B39" s="5" t="s">
        <v>49</v>
      </c>
      <c r="C39" s="5" t="s">
        <v>64</v>
      </c>
      <c r="D39" s="5" t="s">
        <v>17</v>
      </c>
      <c r="E39" s="1">
        <v>7.3</v>
      </c>
      <c r="F39" s="1">
        <v>11.4</v>
      </c>
      <c r="G39" s="1">
        <v>8.6999999999999993</v>
      </c>
      <c r="H39" s="7" t="str">
        <f t="shared" si="0"/>
        <v>km/l</v>
      </c>
      <c r="I39" s="1" cm="1">
        <f t="array" ref="I39">_xlfn.IFS(D39="GASOLINA",24,D39="HIBRIDO",24,D39="ELÉCTRICO",5,D39="DIESEL",27)</f>
        <v>24</v>
      </c>
      <c r="J39" s="1">
        <v>321</v>
      </c>
      <c r="K39" s="1">
        <v>206</v>
      </c>
      <c r="L39" s="1">
        <v>269</v>
      </c>
      <c r="M39" t="s">
        <v>230</v>
      </c>
      <c r="N39" s="5" t="s">
        <v>10</v>
      </c>
    </row>
    <row r="40" spans="1:14">
      <c r="A40" s="4">
        <v>1038</v>
      </c>
      <c r="B40" s="5" t="s">
        <v>49</v>
      </c>
      <c r="C40" s="5" t="s">
        <v>65</v>
      </c>
      <c r="D40" s="5" t="s">
        <v>1</v>
      </c>
      <c r="E40" s="1">
        <v>11.5</v>
      </c>
      <c r="F40" s="1">
        <v>15.7</v>
      </c>
      <c r="G40" s="1">
        <v>13.1</v>
      </c>
      <c r="H40" s="7" t="str">
        <f t="shared" si="0"/>
        <v>km/l</v>
      </c>
      <c r="I40" s="1" cm="1">
        <f t="array" ref="I40">_xlfn.IFS(D40="GASOLINA",24,D40="HIBRIDO",24,D40="ELÉCTRICO",5,D40="DIESEL",27)</f>
        <v>24</v>
      </c>
      <c r="J40" s="1">
        <v>204</v>
      </c>
      <c r="K40" s="1">
        <v>149</v>
      </c>
      <c r="L40" s="1">
        <v>179</v>
      </c>
      <c r="M40" t="s">
        <v>34</v>
      </c>
      <c r="N40" s="5" t="s">
        <v>10</v>
      </c>
    </row>
    <row r="41" spans="1:14">
      <c r="A41" s="4">
        <v>1039</v>
      </c>
      <c r="B41" s="5" t="s">
        <v>49</v>
      </c>
      <c r="C41" s="5" t="s">
        <v>66</v>
      </c>
      <c r="D41" s="5" t="s">
        <v>1</v>
      </c>
      <c r="E41" s="1">
        <v>11.5</v>
      </c>
      <c r="F41" s="1">
        <v>15.7</v>
      </c>
      <c r="G41" s="1">
        <v>13.1</v>
      </c>
      <c r="H41" s="7" t="str">
        <f t="shared" si="0"/>
        <v>km/l</v>
      </c>
      <c r="I41" s="1" cm="1">
        <f t="array" ref="I41">_xlfn.IFS(D41="GASOLINA",24,D41="HIBRIDO",24,D41="ELÉCTRICO",5,D41="DIESEL",27)</f>
        <v>24</v>
      </c>
      <c r="J41" s="1">
        <v>204</v>
      </c>
      <c r="K41" s="1">
        <v>149</v>
      </c>
      <c r="L41" s="1">
        <v>179</v>
      </c>
      <c r="M41" t="s">
        <v>34</v>
      </c>
      <c r="N41" s="5" t="s">
        <v>10</v>
      </c>
    </row>
    <row r="42" spans="1:14">
      <c r="A42" s="4">
        <v>1040</v>
      </c>
      <c r="B42" s="5" t="s">
        <v>49</v>
      </c>
      <c r="C42" s="5" t="s">
        <v>67</v>
      </c>
      <c r="D42" s="5" t="s">
        <v>1</v>
      </c>
      <c r="E42" s="1">
        <v>11.5</v>
      </c>
      <c r="F42" s="1">
        <v>15.9</v>
      </c>
      <c r="G42" s="1">
        <v>13.1</v>
      </c>
      <c r="H42" s="7" t="str">
        <f t="shared" si="0"/>
        <v>km/l</v>
      </c>
      <c r="I42" s="1" cm="1">
        <f t="array" ref="I42">_xlfn.IFS(D42="GASOLINA",24,D42="HIBRIDO",24,D42="ELÉCTRICO",5,D42="DIESEL",27)</f>
        <v>24</v>
      </c>
      <c r="J42" s="1">
        <v>204</v>
      </c>
      <c r="K42" s="1">
        <v>147</v>
      </c>
      <c r="L42" s="1">
        <v>179</v>
      </c>
      <c r="M42" t="s">
        <v>34</v>
      </c>
      <c r="N42" s="5" t="s">
        <v>10</v>
      </c>
    </row>
    <row r="43" spans="1:14">
      <c r="A43" s="4">
        <v>1041</v>
      </c>
      <c r="B43" s="5" t="s">
        <v>49</v>
      </c>
      <c r="C43" s="5" t="s">
        <v>68</v>
      </c>
      <c r="D43" s="5" t="s">
        <v>1</v>
      </c>
      <c r="E43" s="1">
        <v>11.5</v>
      </c>
      <c r="F43" s="1">
        <v>15.9</v>
      </c>
      <c r="G43" s="1">
        <v>13.1</v>
      </c>
      <c r="H43" s="7" t="str">
        <f t="shared" si="0"/>
        <v>km/l</v>
      </c>
      <c r="I43" s="1" cm="1">
        <f t="array" ref="I43">_xlfn.IFS(D43="GASOLINA",24,D43="HIBRIDO",24,D43="ELÉCTRICO",5,D43="DIESEL",27)</f>
        <v>24</v>
      </c>
      <c r="J43" s="1">
        <v>204</v>
      </c>
      <c r="K43" s="1">
        <v>147</v>
      </c>
      <c r="L43" s="1">
        <v>179</v>
      </c>
      <c r="M43" t="s">
        <v>34</v>
      </c>
      <c r="N43" s="5" t="s">
        <v>10</v>
      </c>
    </row>
    <row r="44" spans="1:14">
      <c r="A44" s="4">
        <v>1042</v>
      </c>
      <c r="B44" s="5" t="s">
        <v>49</v>
      </c>
      <c r="C44" s="5" t="s">
        <v>69</v>
      </c>
      <c r="D44" s="5" t="s">
        <v>17</v>
      </c>
      <c r="E44" s="1">
        <v>10.9</v>
      </c>
      <c r="F44" s="1">
        <v>17.100000000000001</v>
      </c>
      <c r="G44" s="1">
        <v>13.1</v>
      </c>
      <c r="H44" s="7" t="str">
        <f t="shared" si="0"/>
        <v>km/l</v>
      </c>
      <c r="I44" s="1" cm="1">
        <f t="array" ref="I44">_xlfn.IFS(D44="GASOLINA",24,D44="HIBRIDO",24,D44="ELÉCTRICO",5,D44="DIESEL",27)</f>
        <v>24</v>
      </c>
      <c r="J44" s="1">
        <v>214</v>
      </c>
      <c r="K44" s="1">
        <v>137</v>
      </c>
      <c r="L44" s="1">
        <v>179</v>
      </c>
      <c r="M44" t="s">
        <v>40</v>
      </c>
      <c r="N44" s="5" t="s">
        <v>10</v>
      </c>
    </row>
    <row r="45" spans="1:14">
      <c r="A45" s="4">
        <v>1043</v>
      </c>
      <c r="B45" s="5" t="s">
        <v>49</v>
      </c>
      <c r="C45" s="5" t="s">
        <v>70</v>
      </c>
      <c r="D45" s="5" t="s">
        <v>17</v>
      </c>
      <c r="E45" s="1">
        <v>11.1</v>
      </c>
      <c r="F45" s="1">
        <v>16.100000000000001</v>
      </c>
      <c r="G45" s="1">
        <v>12.9</v>
      </c>
      <c r="H45" s="7" t="str">
        <f t="shared" si="0"/>
        <v>km/l</v>
      </c>
      <c r="I45" s="1" cm="1">
        <f t="array" ref="I45">_xlfn.IFS(D45="GASOLINA",24,D45="HIBRIDO",24,D45="ELÉCTRICO",5,D45="DIESEL",27)</f>
        <v>24</v>
      </c>
      <c r="J45" s="1">
        <v>211</v>
      </c>
      <c r="K45" s="1">
        <v>146</v>
      </c>
      <c r="L45" s="1">
        <v>182</v>
      </c>
      <c r="M45" t="s">
        <v>40</v>
      </c>
      <c r="N45" s="5" t="s">
        <v>10</v>
      </c>
    </row>
    <row r="46" spans="1:14">
      <c r="A46" s="4">
        <v>1044</v>
      </c>
      <c r="B46" s="5" t="s">
        <v>49</v>
      </c>
      <c r="C46" s="5" t="s">
        <v>71</v>
      </c>
      <c r="D46" s="5" t="s">
        <v>1</v>
      </c>
      <c r="E46" s="1">
        <v>10.5</v>
      </c>
      <c r="F46" s="1">
        <v>15.9</v>
      </c>
      <c r="G46" s="1">
        <v>12.4</v>
      </c>
      <c r="H46" s="7" t="str">
        <f t="shared" si="0"/>
        <v>km/l</v>
      </c>
      <c r="I46" s="1" cm="1">
        <f t="array" ref="I46">_xlfn.IFS(D46="GASOLINA",24,D46="HIBRIDO",24,D46="ELÉCTRICO",5,D46="DIESEL",27)</f>
        <v>24</v>
      </c>
      <c r="J46" s="1">
        <v>224</v>
      </c>
      <c r="K46" s="1">
        <v>148</v>
      </c>
      <c r="L46" s="1">
        <v>190</v>
      </c>
      <c r="M46" t="s">
        <v>488</v>
      </c>
      <c r="N46" s="5" t="s">
        <v>10</v>
      </c>
    </row>
    <row r="47" spans="1:14">
      <c r="A47" s="4">
        <v>1045</v>
      </c>
      <c r="B47" s="5" t="s">
        <v>49</v>
      </c>
      <c r="C47" s="5" t="s">
        <v>72</v>
      </c>
      <c r="D47" s="5" t="s">
        <v>1</v>
      </c>
      <c r="E47" s="1">
        <v>10.5</v>
      </c>
      <c r="F47" s="1">
        <v>15.4</v>
      </c>
      <c r="G47" s="1">
        <v>12.3</v>
      </c>
      <c r="H47" s="7" t="str">
        <f t="shared" si="0"/>
        <v>km/l</v>
      </c>
      <c r="I47" s="1" cm="1">
        <f t="array" ref="I47">_xlfn.IFS(D47="GASOLINA",24,D47="HIBRIDO",24,D47="ELÉCTRICO",5,D47="DIESEL",27)</f>
        <v>24</v>
      </c>
      <c r="J47" s="1">
        <v>223</v>
      </c>
      <c r="K47" s="1">
        <v>152</v>
      </c>
      <c r="L47" s="1">
        <v>191</v>
      </c>
      <c r="M47" t="s">
        <v>488</v>
      </c>
      <c r="N47" s="5" t="s">
        <v>10</v>
      </c>
    </row>
    <row r="48" spans="1:14">
      <c r="A48" s="4">
        <v>1046</v>
      </c>
      <c r="B48" s="5" t="s">
        <v>49</v>
      </c>
      <c r="C48" s="5" t="s">
        <v>73</v>
      </c>
      <c r="D48" s="5" t="s">
        <v>1</v>
      </c>
      <c r="E48" s="1">
        <v>10.199999999999999</v>
      </c>
      <c r="F48" s="1">
        <v>16.600000000000001</v>
      </c>
      <c r="G48" s="1">
        <v>12.3</v>
      </c>
      <c r="H48" s="7" t="str">
        <f t="shared" si="0"/>
        <v>km/l</v>
      </c>
      <c r="I48" s="1" cm="1">
        <f t="array" ref="I48">_xlfn.IFS(D48="GASOLINA",24,D48="HIBRIDO",24,D48="ELÉCTRICO",5,D48="DIESEL",27)</f>
        <v>24</v>
      </c>
      <c r="J48" s="1">
        <v>231</v>
      </c>
      <c r="K48" s="1">
        <v>141</v>
      </c>
      <c r="L48" s="1">
        <v>190</v>
      </c>
      <c r="M48" t="s">
        <v>40</v>
      </c>
      <c r="N48" s="5" t="s">
        <v>10</v>
      </c>
    </row>
    <row r="49" spans="1:14">
      <c r="A49" s="4">
        <v>1047</v>
      </c>
      <c r="B49" s="5" t="s">
        <v>49</v>
      </c>
      <c r="C49" s="5" t="s">
        <v>74</v>
      </c>
      <c r="D49" s="5" t="s">
        <v>17</v>
      </c>
      <c r="E49" s="1">
        <v>10.7</v>
      </c>
      <c r="F49" s="1">
        <v>13.3</v>
      </c>
      <c r="G49" s="1">
        <v>11.7</v>
      </c>
      <c r="H49" s="7" t="str">
        <f t="shared" si="0"/>
        <v>km/l</v>
      </c>
      <c r="I49" s="1" cm="1">
        <f t="array" ref="I49">_xlfn.IFS(D49="GASOLINA",24,D49="HIBRIDO",24,D49="ELÉCTRICO",5,D49="DIESEL",27)</f>
        <v>24</v>
      </c>
      <c r="J49" s="1">
        <v>220</v>
      </c>
      <c r="K49" s="1">
        <v>176</v>
      </c>
      <c r="L49" s="1">
        <v>200</v>
      </c>
      <c r="M49" t="s">
        <v>40</v>
      </c>
      <c r="N49" s="5" t="s">
        <v>10</v>
      </c>
    </row>
    <row r="50" spans="1:14">
      <c r="A50" s="4">
        <v>1048</v>
      </c>
      <c r="B50" s="5" t="s">
        <v>49</v>
      </c>
      <c r="C50" s="5" t="s">
        <v>75</v>
      </c>
      <c r="D50" s="5" t="s">
        <v>17</v>
      </c>
      <c r="E50" s="1">
        <v>10.7</v>
      </c>
      <c r="F50" s="1">
        <v>13.3</v>
      </c>
      <c r="G50" s="1">
        <v>11.7</v>
      </c>
      <c r="H50" s="7" t="str">
        <f t="shared" si="0"/>
        <v>km/l</v>
      </c>
      <c r="I50" s="1" cm="1">
        <f t="array" ref="I50">_xlfn.IFS(D50="GASOLINA",24,D50="HIBRIDO",24,D50="ELÉCTRICO",5,D50="DIESEL",27)</f>
        <v>24</v>
      </c>
      <c r="J50" s="1">
        <v>220</v>
      </c>
      <c r="K50" s="1">
        <v>176</v>
      </c>
      <c r="L50" s="1">
        <v>200</v>
      </c>
      <c r="M50" t="s">
        <v>40</v>
      </c>
      <c r="N50" s="5" t="s">
        <v>10</v>
      </c>
    </row>
    <row r="51" spans="1:14">
      <c r="A51" s="4">
        <v>1049</v>
      </c>
      <c r="B51" s="5" t="s">
        <v>49</v>
      </c>
      <c r="C51" s="5" t="s">
        <v>76</v>
      </c>
      <c r="D51" s="5" t="s">
        <v>1</v>
      </c>
      <c r="E51" s="1">
        <v>16.899999999999999</v>
      </c>
      <c r="F51" s="1">
        <v>24.5</v>
      </c>
      <c r="G51" s="1">
        <v>19.600000000000001</v>
      </c>
      <c r="H51" s="7" t="str">
        <f t="shared" si="0"/>
        <v>km/l</v>
      </c>
      <c r="I51" s="1" cm="1">
        <f t="array" ref="I51">_xlfn.IFS(D51="GASOLINA",24,D51="HIBRIDO",24,D51="ELÉCTRICO",5,D51="DIESEL",27)</f>
        <v>24</v>
      </c>
      <c r="J51" s="1">
        <v>139</v>
      </c>
      <c r="K51" s="1">
        <v>96</v>
      </c>
      <c r="L51" s="1">
        <v>119</v>
      </c>
      <c r="M51" t="s">
        <v>354</v>
      </c>
      <c r="N51" s="5" t="s">
        <v>10</v>
      </c>
    </row>
    <row r="52" spans="1:14">
      <c r="A52" s="4">
        <v>1050</v>
      </c>
      <c r="B52" s="5" t="s">
        <v>49</v>
      </c>
      <c r="C52" s="5" t="s">
        <v>77</v>
      </c>
      <c r="D52" s="5" t="s">
        <v>1</v>
      </c>
      <c r="E52" s="1">
        <v>15.4</v>
      </c>
      <c r="F52" s="1">
        <v>21.1</v>
      </c>
      <c r="G52" s="1">
        <v>17.600000000000001</v>
      </c>
      <c r="H52" s="7" t="str">
        <f t="shared" si="0"/>
        <v>km/l</v>
      </c>
      <c r="I52" s="1" cm="1">
        <f t="array" ref="I52">_xlfn.IFS(D52="GASOLINA",24,D52="HIBRIDO",24,D52="ELÉCTRICO",5,D52="DIESEL",27)</f>
        <v>24</v>
      </c>
      <c r="J52" s="1">
        <v>152</v>
      </c>
      <c r="K52" s="1">
        <v>111</v>
      </c>
      <c r="L52" s="1">
        <v>133</v>
      </c>
      <c r="M52" t="s">
        <v>34</v>
      </c>
      <c r="N52" s="5" t="s">
        <v>10</v>
      </c>
    </row>
    <row r="53" spans="1:14">
      <c r="A53" s="4">
        <v>1051</v>
      </c>
      <c r="B53" s="5" t="s">
        <v>49</v>
      </c>
      <c r="C53" s="5" t="s">
        <v>78</v>
      </c>
      <c r="D53" s="5" t="s">
        <v>1</v>
      </c>
      <c r="E53" s="1">
        <v>14.8</v>
      </c>
      <c r="F53" s="1">
        <v>22.1</v>
      </c>
      <c r="G53" s="1">
        <v>17.399999999999999</v>
      </c>
      <c r="H53" s="7" t="str">
        <f t="shared" si="0"/>
        <v>km/l</v>
      </c>
      <c r="I53" s="1" cm="1">
        <f t="array" ref="I53">_xlfn.IFS(D53="GASOLINA",24,D53="HIBRIDO",24,D53="ELÉCTRICO",5,D53="DIESEL",27)</f>
        <v>24</v>
      </c>
      <c r="J53" s="1">
        <v>158</v>
      </c>
      <c r="K53" s="1">
        <v>106</v>
      </c>
      <c r="L53" s="1">
        <v>134</v>
      </c>
      <c r="M53" t="s">
        <v>34</v>
      </c>
      <c r="N53" s="5" t="s">
        <v>10</v>
      </c>
    </row>
    <row r="54" spans="1:14">
      <c r="A54" s="4">
        <v>1052</v>
      </c>
      <c r="B54" s="5" t="s">
        <v>49</v>
      </c>
      <c r="C54" s="5" t="s">
        <v>78</v>
      </c>
      <c r="D54" s="5" t="s">
        <v>1</v>
      </c>
      <c r="E54" s="1">
        <v>14.8</v>
      </c>
      <c r="F54" s="1">
        <v>22.1</v>
      </c>
      <c r="G54" s="1">
        <v>17.399999999999999</v>
      </c>
      <c r="H54" s="7" t="str">
        <f t="shared" si="0"/>
        <v>km/l</v>
      </c>
      <c r="I54" s="1" cm="1">
        <f t="array" ref="I54">_xlfn.IFS(D54="GASOLINA",24,D54="HIBRIDO",24,D54="ELÉCTRICO",5,D54="DIESEL",27)</f>
        <v>24</v>
      </c>
      <c r="J54" s="1">
        <v>158</v>
      </c>
      <c r="K54" s="1">
        <v>106</v>
      </c>
      <c r="L54" s="1">
        <v>134</v>
      </c>
      <c r="M54" t="s">
        <v>34</v>
      </c>
      <c r="N54" s="5" t="s">
        <v>10</v>
      </c>
    </row>
    <row r="55" spans="1:14">
      <c r="A55" s="4">
        <v>1053</v>
      </c>
      <c r="B55" s="5" t="s">
        <v>49</v>
      </c>
      <c r="C55" s="5" t="s">
        <v>79</v>
      </c>
      <c r="D55" s="5" t="s">
        <v>1</v>
      </c>
      <c r="E55" s="1">
        <v>14.6</v>
      </c>
      <c r="F55" s="1">
        <v>21.1</v>
      </c>
      <c r="G55" s="1">
        <v>16.899999999999999</v>
      </c>
      <c r="H55" s="7" t="str">
        <f t="shared" si="0"/>
        <v>km/l</v>
      </c>
      <c r="I55" s="1" cm="1">
        <f t="array" ref="I55">_xlfn.IFS(D55="GASOLINA",24,D55="HIBRIDO",24,D55="ELÉCTRICO",5,D55="DIESEL",27)</f>
        <v>24</v>
      </c>
      <c r="J55" s="1">
        <v>161</v>
      </c>
      <c r="K55" s="1">
        <v>111</v>
      </c>
      <c r="L55" s="1">
        <v>138</v>
      </c>
      <c r="M55" t="s">
        <v>34</v>
      </c>
      <c r="N55" s="5" t="s">
        <v>10</v>
      </c>
    </row>
    <row r="56" spans="1:14">
      <c r="A56" s="4">
        <v>1054</v>
      </c>
      <c r="B56" s="5" t="s">
        <v>49</v>
      </c>
      <c r="C56" s="5" t="s">
        <v>79</v>
      </c>
      <c r="D56" s="5" t="s">
        <v>1</v>
      </c>
      <c r="E56" s="1">
        <v>14.3</v>
      </c>
      <c r="F56" s="1">
        <v>20.8</v>
      </c>
      <c r="G56" s="1">
        <v>16.600000000000001</v>
      </c>
      <c r="H56" s="7" t="str">
        <f t="shared" si="0"/>
        <v>km/l</v>
      </c>
      <c r="I56" s="1" cm="1">
        <f t="array" ref="I56">_xlfn.IFS(D56="GASOLINA",24,D56="HIBRIDO",24,D56="ELÉCTRICO",5,D56="DIESEL",27)</f>
        <v>24</v>
      </c>
      <c r="J56" s="1">
        <v>164</v>
      </c>
      <c r="K56" s="1">
        <v>113</v>
      </c>
      <c r="L56" s="1">
        <v>141</v>
      </c>
      <c r="M56" t="s">
        <v>34</v>
      </c>
      <c r="N56" s="5" t="s">
        <v>10</v>
      </c>
    </row>
    <row r="57" spans="1:14">
      <c r="A57" s="4">
        <v>1055</v>
      </c>
      <c r="B57" s="5" t="s">
        <v>49</v>
      </c>
      <c r="C57" s="5" t="s">
        <v>80</v>
      </c>
      <c r="D57" s="5" t="s">
        <v>17</v>
      </c>
      <c r="E57" s="1">
        <v>14.2</v>
      </c>
      <c r="F57" s="1">
        <v>20.6</v>
      </c>
      <c r="G57" s="1">
        <v>16.5</v>
      </c>
      <c r="H57" s="7" t="str">
        <f t="shared" si="0"/>
        <v>km/l</v>
      </c>
      <c r="I57" s="1" cm="1">
        <f t="array" ref="I57">_xlfn.IFS(D57="GASOLINA",24,D57="HIBRIDO",24,D57="ELÉCTRICO",5,D57="DIESEL",27)</f>
        <v>24</v>
      </c>
      <c r="J57" s="1">
        <v>165</v>
      </c>
      <c r="K57" s="1">
        <v>114</v>
      </c>
      <c r="L57" s="1">
        <v>142</v>
      </c>
      <c r="M57" t="s">
        <v>34</v>
      </c>
      <c r="N57" s="5" t="s">
        <v>10</v>
      </c>
    </row>
    <row r="58" spans="1:14">
      <c r="A58" s="4">
        <v>1056</v>
      </c>
      <c r="B58" s="5" t="s">
        <v>49</v>
      </c>
      <c r="C58" s="5" t="s">
        <v>81</v>
      </c>
      <c r="D58" s="5" t="s">
        <v>57</v>
      </c>
      <c r="E58" s="1">
        <v>12.8</v>
      </c>
      <c r="F58" s="1">
        <v>21.1</v>
      </c>
      <c r="G58" s="1">
        <v>15.6</v>
      </c>
      <c r="H58" s="7" t="str">
        <f t="shared" si="0"/>
        <v>km/l</v>
      </c>
      <c r="I58" s="1" cm="1">
        <f t="array" ref="I58">_xlfn.IFS(D58="GASOLINA",24,D58="HIBRIDO",24,D58="ELÉCTRICO",5,D58="DIESEL",27)</f>
        <v>27</v>
      </c>
      <c r="J58" s="1">
        <v>183</v>
      </c>
      <c r="K58" s="1">
        <v>111</v>
      </c>
      <c r="L58" s="1">
        <v>150</v>
      </c>
      <c r="M58" t="s">
        <v>34</v>
      </c>
      <c r="N58" s="5" t="s">
        <v>10</v>
      </c>
    </row>
    <row r="59" spans="1:14">
      <c r="A59" s="4">
        <v>1057</v>
      </c>
      <c r="B59" s="5" t="s">
        <v>49</v>
      </c>
      <c r="C59" s="5" t="s">
        <v>82</v>
      </c>
      <c r="D59" s="5" t="s">
        <v>1</v>
      </c>
      <c r="E59" s="1">
        <v>12.5</v>
      </c>
      <c r="F59" s="1">
        <v>20.399999999999999</v>
      </c>
      <c r="G59" s="1">
        <v>15.2</v>
      </c>
      <c r="H59" s="7" t="str">
        <f t="shared" si="0"/>
        <v>km/l</v>
      </c>
      <c r="I59" s="1" cm="1">
        <f t="array" ref="I59">_xlfn.IFS(D59="GASOLINA",24,D59="HIBRIDO",24,D59="ELÉCTRICO",5,D59="DIESEL",27)</f>
        <v>24</v>
      </c>
      <c r="J59" s="1">
        <v>187</v>
      </c>
      <c r="K59" s="1">
        <v>115</v>
      </c>
      <c r="L59" s="1">
        <v>154</v>
      </c>
      <c r="M59" t="s">
        <v>34</v>
      </c>
      <c r="N59" s="5" t="s">
        <v>10</v>
      </c>
    </row>
    <row r="60" spans="1:14">
      <c r="A60" s="4">
        <v>1058</v>
      </c>
      <c r="B60" s="5" t="s">
        <v>49</v>
      </c>
      <c r="C60" s="5" t="s">
        <v>83</v>
      </c>
      <c r="D60" s="5" t="s">
        <v>1</v>
      </c>
      <c r="E60" s="1">
        <v>13.2</v>
      </c>
      <c r="F60" s="1">
        <v>18</v>
      </c>
      <c r="G60" s="1">
        <v>15</v>
      </c>
      <c r="H60" s="7" t="str">
        <f t="shared" si="0"/>
        <v>km/l</v>
      </c>
      <c r="I60" s="1" cm="1">
        <f t="array" ref="I60">_xlfn.IFS(D60="GASOLINA",24,D60="HIBRIDO",24,D60="ELÉCTRICO",5,D60="DIESEL",27)</f>
        <v>24</v>
      </c>
      <c r="J60" s="1">
        <v>178</v>
      </c>
      <c r="K60" s="1">
        <v>130</v>
      </c>
      <c r="L60" s="1">
        <v>156</v>
      </c>
      <c r="M60" t="s">
        <v>34</v>
      </c>
      <c r="N60" s="5" t="s">
        <v>10</v>
      </c>
    </row>
    <row r="61" spans="1:14">
      <c r="A61" s="4">
        <v>1059</v>
      </c>
      <c r="B61" s="5" t="s">
        <v>49</v>
      </c>
      <c r="C61" s="5" t="s">
        <v>66</v>
      </c>
      <c r="D61" s="5" t="s">
        <v>1</v>
      </c>
      <c r="E61" s="1">
        <v>13.2</v>
      </c>
      <c r="F61" s="1">
        <v>18</v>
      </c>
      <c r="G61" s="1">
        <v>15</v>
      </c>
      <c r="H61" s="7" t="str">
        <f t="shared" si="0"/>
        <v>km/l</v>
      </c>
      <c r="I61" s="1" cm="1">
        <f t="array" ref="I61">_xlfn.IFS(D61="GASOLINA",24,D61="HIBRIDO",24,D61="ELÉCTRICO",5,D61="DIESEL",27)</f>
        <v>24</v>
      </c>
      <c r="J61" s="1">
        <v>178</v>
      </c>
      <c r="K61" s="1">
        <v>130</v>
      </c>
      <c r="L61" s="1">
        <v>156</v>
      </c>
      <c r="M61" t="s">
        <v>34</v>
      </c>
      <c r="N61" s="5" t="s">
        <v>10</v>
      </c>
    </row>
    <row r="62" spans="1:14">
      <c r="A62" s="4">
        <v>1060</v>
      </c>
      <c r="B62" s="5" t="s">
        <v>49</v>
      </c>
      <c r="C62" s="5" t="s">
        <v>84</v>
      </c>
      <c r="D62" s="5" t="s">
        <v>1</v>
      </c>
      <c r="E62" s="1">
        <v>13.1</v>
      </c>
      <c r="F62" s="1">
        <v>18.2</v>
      </c>
      <c r="G62" s="1">
        <v>15</v>
      </c>
      <c r="H62" s="7" t="str">
        <f t="shared" si="0"/>
        <v>km/l</v>
      </c>
      <c r="I62" s="1" cm="1">
        <f t="array" ref="I62">_xlfn.IFS(D62="GASOLINA",24,D62="HIBRIDO",24,D62="ELÉCTRICO",5,D62="DIESEL",27)</f>
        <v>24</v>
      </c>
      <c r="J62" s="1">
        <v>179</v>
      </c>
      <c r="K62" s="1">
        <v>128</v>
      </c>
      <c r="L62" s="1">
        <v>156</v>
      </c>
      <c r="M62" t="s">
        <v>34</v>
      </c>
      <c r="N62" s="5" t="s">
        <v>10</v>
      </c>
    </row>
    <row r="63" spans="1:14">
      <c r="A63" s="4">
        <v>1061</v>
      </c>
      <c r="B63" s="5" t="s">
        <v>49</v>
      </c>
      <c r="C63" s="5" t="s">
        <v>68</v>
      </c>
      <c r="D63" s="5" t="s">
        <v>1</v>
      </c>
      <c r="E63" s="1">
        <v>13.1</v>
      </c>
      <c r="F63" s="1">
        <v>18.2</v>
      </c>
      <c r="G63" s="1">
        <v>15</v>
      </c>
      <c r="H63" s="7" t="str">
        <f t="shared" si="0"/>
        <v>km/l</v>
      </c>
      <c r="I63" s="1" cm="1">
        <f t="array" ref="I63">_xlfn.IFS(D63="GASOLINA",24,D63="HIBRIDO",24,D63="ELÉCTRICO",5,D63="DIESEL",27)</f>
        <v>24</v>
      </c>
      <c r="J63" s="1">
        <v>179</v>
      </c>
      <c r="K63" s="1">
        <v>128</v>
      </c>
      <c r="L63" s="1">
        <v>156</v>
      </c>
      <c r="M63" t="s">
        <v>34</v>
      </c>
      <c r="N63" s="5" t="s">
        <v>10</v>
      </c>
    </row>
    <row r="64" spans="1:14">
      <c r="A64" s="4">
        <v>1062</v>
      </c>
      <c r="B64" s="5" t="s">
        <v>49</v>
      </c>
      <c r="C64" s="5" t="s">
        <v>85</v>
      </c>
      <c r="D64" s="5" t="s">
        <v>17</v>
      </c>
      <c r="E64" s="1">
        <v>12.2</v>
      </c>
      <c r="F64" s="1">
        <v>18.600000000000001</v>
      </c>
      <c r="G64" s="1">
        <v>14.5</v>
      </c>
      <c r="H64" s="7" t="str">
        <f t="shared" si="0"/>
        <v>km/l</v>
      </c>
      <c r="I64" s="1" cm="1">
        <f t="array" ref="I64">_xlfn.IFS(D64="GASOLINA",24,D64="HIBRIDO",24,D64="ELÉCTRICO",5,D64="DIESEL",27)</f>
        <v>24</v>
      </c>
      <c r="J64" s="1">
        <v>192</v>
      </c>
      <c r="K64" s="1">
        <v>126</v>
      </c>
      <c r="L64" s="1">
        <v>162</v>
      </c>
      <c r="M64" t="s">
        <v>34</v>
      </c>
      <c r="N64" s="5" t="s">
        <v>10</v>
      </c>
    </row>
    <row r="65" spans="1:14">
      <c r="A65" s="4">
        <v>1063</v>
      </c>
      <c r="B65" s="5" t="s">
        <v>49</v>
      </c>
      <c r="C65" s="5" t="s">
        <v>86</v>
      </c>
      <c r="D65" s="5" t="s">
        <v>17</v>
      </c>
      <c r="E65" s="1">
        <v>12.2</v>
      </c>
      <c r="F65" s="1">
        <v>18.3</v>
      </c>
      <c r="G65" s="1">
        <v>14.4</v>
      </c>
      <c r="H65" s="7" t="str">
        <f t="shared" si="0"/>
        <v>km/l</v>
      </c>
      <c r="I65" s="1" cm="1">
        <f t="array" ref="I65">_xlfn.IFS(D65="GASOLINA",24,D65="HIBRIDO",24,D65="ELÉCTRICO",5,D65="DIESEL",27)</f>
        <v>24</v>
      </c>
      <c r="J65" s="1">
        <v>192</v>
      </c>
      <c r="K65" s="1">
        <v>128</v>
      </c>
      <c r="L65" s="1">
        <v>163</v>
      </c>
      <c r="M65" t="s">
        <v>34</v>
      </c>
      <c r="N65" s="5" t="s">
        <v>10</v>
      </c>
    </row>
    <row r="66" spans="1:14">
      <c r="A66" s="4">
        <v>1064</v>
      </c>
      <c r="B66" s="5" t="s">
        <v>49</v>
      </c>
      <c r="C66" s="5" t="s">
        <v>81</v>
      </c>
      <c r="D66" s="5" t="s">
        <v>57</v>
      </c>
      <c r="E66" s="1">
        <v>11.9</v>
      </c>
      <c r="F66" s="1">
        <v>19.399999999999999</v>
      </c>
      <c r="G66" s="1">
        <v>14.4</v>
      </c>
      <c r="H66" s="7" t="str">
        <f t="shared" si="0"/>
        <v>km/l</v>
      </c>
      <c r="I66" s="1" cm="1">
        <f t="array" ref="I66">_xlfn.IFS(D66="GASOLINA",24,D66="HIBRIDO",24,D66="ELÉCTRICO",5,D66="DIESEL",27)</f>
        <v>27</v>
      </c>
      <c r="J66" s="1">
        <v>197</v>
      </c>
      <c r="K66" s="1">
        <v>121</v>
      </c>
      <c r="L66" s="1">
        <v>162</v>
      </c>
      <c r="M66" t="s">
        <v>34</v>
      </c>
      <c r="N66" s="5" t="s">
        <v>10</v>
      </c>
    </row>
    <row r="67" spans="1:14">
      <c r="A67" s="4">
        <v>1065</v>
      </c>
      <c r="B67" s="5" t="s">
        <v>49</v>
      </c>
      <c r="C67" s="5" t="s">
        <v>87</v>
      </c>
      <c r="D67" s="5" t="s">
        <v>57</v>
      </c>
      <c r="E67" s="1">
        <v>11.9</v>
      </c>
      <c r="F67" s="1">
        <v>18.8</v>
      </c>
      <c r="G67" s="1">
        <v>14.2</v>
      </c>
      <c r="H67" s="7" t="str">
        <f t="shared" ref="H67:H86" si="1">IF(D67="ELÉCTRICO","km/kwh",IF(OR(D67="GASOLINA",D67="HIBRIDO",D67="DIESEL"),"km/l","N/D"))</f>
        <v>km/l</v>
      </c>
      <c r="I67" s="1" cm="1">
        <f t="array" ref="I67">_xlfn.IFS(D67="GASOLINA",24,D67="HIBRIDO",24,D67="ELÉCTRICO",5,D67="DIESEL",27)</f>
        <v>27</v>
      </c>
      <c r="J67" s="1">
        <v>197</v>
      </c>
      <c r="K67" s="1">
        <v>125</v>
      </c>
      <c r="L67" s="1">
        <v>164</v>
      </c>
      <c r="M67" t="s">
        <v>34</v>
      </c>
      <c r="N67" s="5" t="s">
        <v>10</v>
      </c>
    </row>
    <row r="68" spans="1:14">
      <c r="A68" s="4">
        <v>1066</v>
      </c>
      <c r="B68" s="5" t="s">
        <v>49</v>
      </c>
      <c r="C68" s="5" t="s">
        <v>82</v>
      </c>
      <c r="D68" s="5" t="s">
        <v>1</v>
      </c>
      <c r="E68" s="1">
        <v>11.6</v>
      </c>
      <c r="F68" s="1">
        <v>18.600000000000001</v>
      </c>
      <c r="G68" s="1">
        <v>14</v>
      </c>
      <c r="H68" s="7" t="str">
        <f t="shared" si="1"/>
        <v>km/l</v>
      </c>
      <c r="I68" s="1" cm="1">
        <f t="array" ref="I68">_xlfn.IFS(D68="GASOLINA",24,D68="HIBRIDO",24,D68="ELÉCTRICO",5,D68="DIESEL",27)</f>
        <v>24</v>
      </c>
      <c r="J68" s="1">
        <v>202</v>
      </c>
      <c r="K68" s="1">
        <v>126</v>
      </c>
      <c r="L68" s="1">
        <v>167</v>
      </c>
      <c r="M68" t="s">
        <v>34</v>
      </c>
      <c r="N68" s="5" t="s">
        <v>10</v>
      </c>
    </row>
    <row r="69" spans="1:14">
      <c r="A69" s="4">
        <v>1067</v>
      </c>
      <c r="B69" s="5" t="s">
        <v>49</v>
      </c>
      <c r="C69" s="5" t="s">
        <v>88</v>
      </c>
      <c r="D69" s="5" t="s">
        <v>57</v>
      </c>
      <c r="E69" s="1">
        <v>11.7</v>
      </c>
      <c r="F69" s="1">
        <v>17.600000000000001</v>
      </c>
      <c r="G69" s="1">
        <v>13.8</v>
      </c>
      <c r="H69" s="7" t="str">
        <f t="shared" si="1"/>
        <v>km/l</v>
      </c>
      <c r="I69" s="1" cm="1">
        <f t="array" ref="I69">_xlfn.IFS(D69="GASOLINA",24,D69="HIBRIDO",24,D69="ELÉCTRICO",5,D69="DIESEL",27)</f>
        <v>27</v>
      </c>
      <c r="J69" s="1">
        <v>200</v>
      </c>
      <c r="K69" s="1">
        <v>133</v>
      </c>
      <c r="L69" s="1">
        <v>170</v>
      </c>
      <c r="M69" t="s">
        <v>34</v>
      </c>
      <c r="N69" s="5" t="s">
        <v>10</v>
      </c>
    </row>
    <row r="70" spans="1:14">
      <c r="A70" s="4">
        <v>1068</v>
      </c>
      <c r="B70" s="5" t="s">
        <v>92</v>
      </c>
      <c r="C70" s="5" t="s">
        <v>90</v>
      </c>
      <c r="D70" s="5" t="s">
        <v>15</v>
      </c>
      <c r="E70" s="1">
        <v>6.5</v>
      </c>
      <c r="F70" s="1">
        <v>6.5</v>
      </c>
      <c r="G70" s="1">
        <v>6.5</v>
      </c>
      <c r="H70" s="7" t="str">
        <f t="shared" si="1"/>
        <v>km/kwh</v>
      </c>
      <c r="I70" s="1" cm="1">
        <f t="array" ref="I70">_xlfn.IFS(D70="GASOLINA",24,D70="HIBRIDO",24,D70="ELÉCTRICO",5,D70="DIESEL",27)</f>
        <v>5</v>
      </c>
      <c r="J70" s="1">
        <v>0</v>
      </c>
      <c r="K70" s="1">
        <v>0</v>
      </c>
      <c r="L70" s="1">
        <v>0</v>
      </c>
      <c r="M70" t="s">
        <v>89</v>
      </c>
      <c r="N70" s="5" t="s">
        <v>89</v>
      </c>
    </row>
    <row r="71" spans="1:14">
      <c r="A71" s="4">
        <v>1069</v>
      </c>
      <c r="B71" s="5" t="s">
        <v>92</v>
      </c>
      <c r="C71" s="5" t="s">
        <v>91</v>
      </c>
      <c r="D71" s="5" t="s">
        <v>15</v>
      </c>
      <c r="E71" s="1">
        <v>7</v>
      </c>
      <c r="F71" s="1">
        <v>7</v>
      </c>
      <c r="G71" s="1">
        <v>7</v>
      </c>
      <c r="H71" s="7" t="str">
        <f t="shared" si="1"/>
        <v>km/kwh</v>
      </c>
      <c r="I71" s="1" cm="1">
        <f t="array" ref="I71">_xlfn.IFS(D71="GASOLINA",24,D71="HIBRIDO",24,D71="ELÉCTRICO",5,D71="DIESEL",27)</f>
        <v>5</v>
      </c>
      <c r="J71" s="1">
        <v>0</v>
      </c>
      <c r="K71" s="1">
        <v>0</v>
      </c>
      <c r="L71" s="1">
        <v>0</v>
      </c>
      <c r="M71" t="s">
        <v>89</v>
      </c>
      <c r="N71" s="5" t="s">
        <v>89</v>
      </c>
    </row>
    <row r="72" spans="1:14">
      <c r="A72" s="4">
        <v>1070</v>
      </c>
      <c r="B72" s="5" t="s">
        <v>93</v>
      </c>
      <c r="C72" s="5" t="s">
        <v>94</v>
      </c>
      <c r="D72" s="5" t="s">
        <v>17</v>
      </c>
      <c r="E72" s="1">
        <v>28.3</v>
      </c>
      <c r="F72" s="1">
        <v>20.2</v>
      </c>
      <c r="G72" s="1">
        <v>24</v>
      </c>
      <c r="H72" s="7" t="str">
        <f t="shared" si="1"/>
        <v>km/l</v>
      </c>
      <c r="I72" s="1" cm="1">
        <f t="array" ref="I72">_xlfn.IFS(D72="GASOLINA",24,D72="HIBRIDO",24,D72="ELÉCTRICO",5,D72="DIESEL",27)</f>
        <v>24</v>
      </c>
      <c r="J72" s="1">
        <v>82</v>
      </c>
      <c r="K72" s="1">
        <v>116</v>
      </c>
      <c r="L72" s="1">
        <v>97</v>
      </c>
      <c r="M72" t="s">
        <v>230</v>
      </c>
      <c r="N72" s="5" t="s">
        <v>10</v>
      </c>
    </row>
    <row r="73" spans="1:14">
      <c r="A73" s="4">
        <v>1071</v>
      </c>
      <c r="B73" s="5" t="s">
        <v>93</v>
      </c>
      <c r="C73" s="5" t="s">
        <v>95</v>
      </c>
      <c r="D73" s="5" t="s">
        <v>17</v>
      </c>
      <c r="E73" s="1">
        <v>28.3</v>
      </c>
      <c r="F73" s="1">
        <v>20.2</v>
      </c>
      <c r="G73" s="1">
        <v>24</v>
      </c>
      <c r="H73" s="7" t="str">
        <f t="shared" si="1"/>
        <v>km/l</v>
      </c>
      <c r="I73" s="1" cm="1">
        <f t="array" ref="I73">_xlfn.IFS(D73="GASOLINA",24,D73="HIBRIDO",24,D73="ELÉCTRICO",5,D73="DIESEL",27)</f>
        <v>24</v>
      </c>
      <c r="J73" s="1">
        <v>82</v>
      </c>
      <c r="K73" s="1">
        <v>116</v>
      </c>
      <c r="L73" s="1">
        <v>97</v>
      </c>
      <c r="M73" t="s">
        <v>230</v>
      </c>
      <c r="N73" s="5" t="s">
        <v>10</v>
      </c>
    </row>
    <row r="74" spans="1:14">
      <c r="A74" s="4">
        <v>1072</v>
      </c>
      <c r="B74" s="5" t="s">
        <v>93</v>
      </c>
      <c r="C74" s="5" t="s">
        <v>96</v>
      </c>
      <c r="D74" s="5" t="s">
        <v>17</v>
      </c>
      <c r="E74" s="1">
        <v>28.3</v>
      </c>
      <c r="F74" s="1">
        <v>20.2</v>
      </c>
      <c r="G74" s="1">
        <v>24</v>
      </c>
      <c r="H74" s="7" t="str">
        <f t="shared" si="1"/>
        <v>km/l</v>
      </c>
      <c r="I74" s="1" cm="1">
        <f t="array" ref="I74">_xlfn.IFS(D74="GASOLINA",24,D74="HIBRIDO",24,D74="ELÉCTRICO",5,D74="DIESEL",27)</f>
        <v>24</v>
      </c>
      <c r="J74" s="1">
        <v>82</v>
      </c>
      <c r="K74" s="1">
        <v>116</v>
      </c>
      <c r="L74" s="1">
        <v>97</v>
      </c>
      <c r="M74" t="s">
        <v>230</v>
      </c>
      <c r="N74" s="5" t="s">
        <v>10</v>
      </c>
    </row>
    <row r="75" spans="1:14">
      <c r="A75" s="4">
        <v>1073</v>
      </c>
      <c r="B75" s="5" t="s">
        <v>93</v>
      </c>
      <c r="C75" s="5" t="s">
        <v>94</v>
      </c>
      <c r="D75" s="5" t="s">
        <v>17</v>
      </c>
      <c r="E75" s="1">
        <v>28.3</v>
      </c>
      <c r="F75" s="1">
        <v>20.2</v>
      </c>
      <c r="G75" s="1">
        <v>24</v>
      </c>
      <c r="H75" s="7" t="str">
        <f t="shared" si="1"/>
        <v>km/l</v>
      </c>
      <c r="I75" s="1" cm="1">
        <f t="array" ref="I75">_xlfn.IFS(D75="GASOLINA",24,D75="HIBRIDO",24,D75="ELÉCTRICO",5,D75="DIESEL",27)</f>
        <v>24</v>
      </c>
      <c r="J75" s="1">
        <v>82</v>
      </c>
      <c r="K75" s="1">
        <v>116</v>
      </c>
      <c r="L75" s="1">
        <v>97</v>
      </c>
      <c r="M75" t="s">
        <v>230</v>
      </c>
      <c r="N75" s="5" t="s">
        <v>10</v>
      </c>
    </row>
    <row r="76" spans="1:14">
      <c r="A76" s="4">
        <v>1074</v>
      </c>
      <c r="B76" s="5" t="s">
        <v>93</v>
      </c>
      <c r="C76" s="5" t="s">
        <v>95</v>
      </c>
      <c r="D76" s="5" t="s">
        <v>17</v>
      </c>
      <c r="E76" s="1">
        <v>28.3</v>
      </c>
      <c r="F76" s="1">
        <v>20.2</v>
      </c>
      <c r="G76" s="1">
        <v>24</v>
      </c>
      <c r="H76" s="7" t="str">
        <f t="shared" si="1"/>
        <v>km/l</v>
      </c>
      <c r="I76" s="1" cm="1">
        <f t="array" ref="I76">_xlfn.IFS(D76="GASOLINA",24,D76="HIBRIDO",24,D76="ELÉCTRICO",5,D76="DIESEL",27)</f>
        <v>24</v>
      </c>
      <c r="J76" s="1">
        <v>82</v>
      </c>
      <c r="K76" s="1">
        <v>116</v>
      </c>
      <c r="L76" s="1">
        <v>97</v>
      </c>
      <c r="M76" t="s">
        <v>230</v>
      </c>
      <c r="N76" s="5" t="s">
        <v>10</v>
      </c>
    </row>
    <row r="77" spans="1:14">
      <c r="A77" s="4">
        <v>1075</v>
      </c>
      <c r="B77" s="5" t="s">
        <v>93</v>
      </c>
      <c r="C77" s="5" t="s">
        <v>96</v>
      </c>
      <c r="D77" s="5" t="s">
        <v>17</v>
      </c>
      <c r="E77" s="1">
        <v>28.3</v>
      </c>
      <c r="F77" s="1">
        <v>20.2</v>
      </c>
      <c r="G77" s="1">
        <v>24</v>
      </c>
      <c r="H77" s="7" t="str">
        <f t="shared" si="1"/>
        <v>km/l</v>
      </c>
      <c r="I77" s="1" cm="1">
        <f t="array" ref="I77">_xlfn.IFS(D77="GASOLINA",24,D77="HIBRIDO",24,D77="ELÉCTRICO",5,D77="DIESEL",27)</f>
        <v>24</v>
      </c>
      <c r="J77" s="1">
        <v>82</v>
      </c>
      <c r="K77" s="1">
        <v>116</v>
      </c>
      <c r="L77" s="1">
        <v>97</v>
      </c>
      <c r="M77" t="s">
        <v>230</v>
      </c>
      <c r="N77" s="5" t="s">
        <v>10</v>
      </c>
    </row>
    <row r="78" spans="1:14">
      <c r="A78" s="4">
        <v>1076</v>
      </c>
      <c r="B78" s="5" t="s">
        <v>97</v>
      </c>
      <c r="C78" s="5" t="s">
        <v>98</v>
      </c>
      <c r="D78" s="5" t="s">
        <v>1</v>
      </c>
      <c r="E78" s="1">
        <v>16.47</v>
      </c>
      <c r="F78" s="1">
        <v>21.07</v>
      </c>
      <c r="G78" s="1">
        <v>18.260000000000002</v>
      </c>
      <c r="H78" s="7" t="str">
        <f t="shared" si="1"/>
        <v>km/l</v>
      </c>
      <c r="I78" s="1" cm="1">
        <f t="array" ref="I78">_xlfn.IFS(D78="GASOLINA",24,D78="HIBRIDO",24,D78="ELÉCTRICO",5,D78="DIESEL",27)</f>
        <v>24</v>
      </c>
      <c r="J78" s="1">
        <v>142</v>
      </c>
      <c r="K78" s="1">
        <v>111</v>
      </c>
      <c r="L78" s="1">
        <v>128</v>
      </c>
      <c r="M78" t="s">
        <v>354</v>
      </c>
      <c r="N78" s="5" t="s">
        <v>5</v>
      </c>
    </row>
    <row r="79" spans="1:14">
      <c r="A79" s="4">
        <v>1077</v>
      </c>
      <c r="B79" s="5" t="s">
        <v>97</v>
      </c>
      <c r="C79" s="5" t="s">
        <v>99</v>
      </c>
      <c r="D79" s="5" t="s">
        <v>1</v>
      </c>
      <c r="E79" s="1">
        <v>16.47</v>
      </c>
      <c r="F79" s="1">
        <v>21.07</v>
      </c>
      <c r="G79" s="1">
        <v>18.260000000000002</v>
      </c>
      <c r="H79" s="7" t="str">
        <f t="shared" si="1"/>
        <v>km/l</v>
      </c>
      <c r="I79" s="1" cm="1">
        <f t="array" ref="I79">_xlfn.IFS(D79="GASOLINA",24,D79="HIBRIDO",24,D79="ELÉCTRICO",5,D79="DIESEL",27)</f>
        <v>24</v>
      </c>
      <c r="J79" s="1">
        <v>142</v>
      </c>
      <c r="K79" s="1">
        <v>111</v>
      </c>
      <c r="L79" s="1">
        <v>128</v>
      </c>
      <c r="M79" t="s">
        <v>354</v>
      </c>
      <c r="N79" s="5" t="s">
        <v>5</v>
      </c>
    </row>
    <row r="80" spans="1:14">
      <c r="A80" s="4">
        <v>1078</v>
      </c>
      <c r="B80" s="5" t="s">
        <v>97</v>
      </c>
      <c r="C80" s="5" t="s">
        <v>100</v>
      </c>
      <c r="D80" s="5" t="s">
        <v>1</v>
      </c>
      <c r="E80" s="1">
        <v>10.6713</v>
      </c>
      <c r="F80" s="1">
        <v>15.03988</v>
      </c>
      <c r="G80" s="1">
        <v>12.275907</v>
      </c>
      <c r="H80" s="7" t="str">
        <f t="shared" si="1"/>
        <v>km/l</v>
      </c>
      <c r="I80" s="1" cm="1">
        <f t="array" ref="I80">_xlfn.IFS(D80="GASOLINA",24,D80="HIBRIDO",24,D80="ELÉCTRICO",5,D80="DIESEL",27)</f>
        <v>24</v>
      </c>
      <c r="J80" s="1">
        <v>220</v>
      </c>
      <c r="K80" s="1">
        <v>156</v>
      </c>
      <c r="L80" s="1">
        <v>191</v>
      </c>
      <c r="M80" t="s">
        <v>34</v>
      </c>
      <c r="N80" s="5" t="s">
        <v>10</v>
      </c>
    </row>
    <row r="81" spans="1:14">
      <c r="A81" s="4">
        <v>1079</v>
      </c>
      <c r="B81" s="5" t="s">
        <v>97</v>
      </c>
      <c r="C81" s="5" t="s">
        <v>101</v>
      </c>
      <c r="D81" s="5" t="s">
        <v>1</v>
      </c>
      <c r="E81" s="1">
        <v>15.6637</v>
      </c>
      <c r="F81" s="1">
        <v>21.255269999999999</v>
      </c>
      <c r="G81" s="1">
        <v>17.766981999999999</v>
      </c>
      <c r="H81" s="7" t="str">
        <f t="shared" si="1"/>
        <v>km/l</v>
      </c>
      <c r="I81" s="1" cm="1">
        <f t="array" ref="I81">_xlfn.IFS(D81="GASOLINA",24,D81="HIBRIDO",24,D81="ELÉCTRICO",5,D81="DIESEL",27)</f>
        <v>24</v>
      </c>
      <c r="J81" s="1">
        <v>149</v>
      </c>
      <c r="K81" s="1">
        <v>110</v>
      </c>
      <c r="L81" s="1">
        <v>132</v>
      </c>
      <c r="M81" t="s">
        <v>354</v>
      </c>
      <c r="N81" s="5" t="s">
        <v>10</v>
      </c>
    </row>
    <row r="82" spans="1:14">
      <c r="A82" s="4">
        <v>1080</v>
      </c>
      <c r="B82" s="5" t="s">
        <v>97</v>
      </c>
      <c r="C82" s="5" t="s">
        <v>102</v>
      </c>
      <c r="D82" s="5" t="s">
        <v>1</v>
      </c>
      <c r="E82" s="1">
        <v>15.6637</v>
      </c>
      <c r="F82" s="1">
        <v>21.255269999999999</v>
      </c>
      <c r="G82" s="1">
        <v>17.766981999999999</v>
      </c>
      <c r="H82" s="7" t="str">
        <f t="shared" si="1"/>
        <v>km/l</v>
      </c>
      <c r="I82" s="1" cm="1">
        <f t="array" ref="I82">_xlfn.IFS(D82="GASOLINA",24,D82="HIBRIDO",24,D82="ELÉCTRICO",5,D82="DIESEL",27)</f>
        <v>24</v>
      </c>
      <c r="J82" s="1">
        <v>149</v>
      </c>
      <c r="K82" s="1">
        <v>110</v>
      </c>
      <c r="L82" s="1">
        <v>132</v>
      </c>
      <c r="M82" t="s">
        <v>354</v>
      </c>
      <c r="N82" s="5" t="s">
        <v>10</v>
      </c>
    </row>
    <row r="83" spans="1:14">
      <c r="A83" s="4">
        <v>1081</v>
      </c>
      <c r="B83" s="5" t="s">
        <v>97</v>
      </c>
      <c r="C83" s="5" t="s">
        <v>103</v>
      </c>
      <c r="D83" s="5" t="s">
        <v>1</v>
      </c>
      <c r="E83" s="1">
        <v>10.8155</v>
      </c>
      <c r="F83" s="1">
        <v>16.198090000000001</v>
      </c>
      <c r="G83" s="1">
        <v>12.717114</v>
      </c>
      <c r="H83" s="7" t="str">
        <f t="shared" si="1"/>
        <v>km/l</v>
      </c>
      <c r="I83" s="1" cm="1">
        <f t="array" ref="I83">_xlfn.IFS(D83="GASOLINA",24,D83="HIBRIDO",24,D83="ELÉCTRICO",5,D83="DIESEL",27)</f>
        <v>24</v>
      </c>
      <c r="J83" s="1">
        <v>217</v>
      </c>
      <c r="K83" s="1">
        <v>144</v>
      </c>
      <c r="L83" s="1">
        <v>184</v>
      </c>
      <c r="M83" t="s">
        <v>34</v>
      </c>
      <c r="N83" s="5" t="s">
        <v>10</v>
      </c>
    </row>
    <row r="84" spans="1:14">
      <c r="A84" s="4">
        <v>1082</v>
      </c>
      <c r="B84" s="5" t="s">
        <v>97</v>
      </c>
      <c r="C84" s="5" t="s">
        <v>104</v>
      </c>
      <c r="D84" s="5" t="s">
        <v>1</v>
      </c>
      <c r="E84" s="1">
        <v>11.8346</v>
      </c>
      <c r="F84" s="1">
        <v>17.715389999999999</v>
      </c>
      <c r="G84" s="1">
        <v>13.912966000000001</v>
      </c>
      <c r="H84" s="7" t="str">
        <f t="shared" si="1"/>
        <v>km/l</v>
      </c>
      <c r="I84" s="1" cm="1">
        <f t="array" ref="I84">_xlfn.IFS(D84="GASOLINA",24,D84="HIBRIDO",24,D84="ELÉCTRICO",5,D84="DIESEL",27)</f>
        <v>24</v>
      </c>
      <c r="J84" s="1">
        <v>198</v>
      </c>
      <c r="K84" s="1">
        <v>132</v>
      </c>
      <c r="L84" s="1">
        <v>168</v>
      </c>
      <c r="M84" t="s">
        <v>34</v>
      </c>
      <c r="N84" s="5" t="s">
        <v>10</v>
      </c>
    </row>
    <row r="85" spans="1:14">
      <c r="A85" s="4">
        <v>1083</v>
      </c>
      <c r="B85" s="5" t="s">
        <v>97</v>
      </c>
      <c r="C85" s="5" t="s">
        <v>105</v>
      </c>
      <c r="D85" s="5" t="s">
        <v>1</v>
      </c>
      <c r="E85" s="1">
        <v>11.8346</v>
      </c>
      <c r="F85" s="1">
        <v>17.715389999999999</v>
      </c>
      <c r="G85" s="1">
        <v>13.912966000000001</v>
      </c>
      <c r="H85" s="7" t="str">
        <f t="shared" si="1"/>
        <v>km/l</v>
      </c>
      <c r="I85" s="1" cm="1">
        <f t="array" ref="I85">_xlfn.IFS(D85="GASOLINA",24,D85="HIBRIDO",24,D85="ELÉCTRICO",5,D85="DIESEL",27)</f>
        <v>24</v>
      </c>
      <c r="J85" s="1">
        <v>198</v>
      </c>
      <c r="K85" s="1">
        <v>132</v>
      </c>
      <c r="L85" s="1">
        <v>168</v>
      </c>
      <c r="M85" t="s">
        <v>34</v>
      </c>
      <c r="N85" s="5" t="s">
        <v>10</v>
      </c>
    </row>
    <row r="86" spans="1:14">
      <c r="A86" s="4">
        <v>1084</v>
      </c>
      <c r="B86" s="5" t="s">
        <v>125</v>
      </c>
      <c r="C86" s="5" t="s">
        <v>106</v>
      </c>
      <c r="D86" s="5" t="s">
        <v>15</v>
      </c>
      <c r="E86" s="1">
        <v>8.44</v>
      </c>
      <c r="F86" s="1">
        <v>8.44</v>
      </c>
      <c r="G86" s="1">
        <v>8.44</v>
      </c>
      <c r="H86" s="7" t="str">
        <f t="shared" si="1"/>
        <v>km/kwh</v>
      </c>
      <c r="I86" s="1" cm="1">
        <f t="array" ref="I86">_xlfn.IFS(D86="GASOLINA",24,D86="HIBRIDO",24,D86="ELÉCTRICO",5,D86="DIESEL",27)</f>
        <v>5</v>
      </c>
      <c r="J86" s="1">
        <v>0</v>
      </c>
      <c r="K86" s="1">
        <v>0</v>
      </c>
      <c r="L86" s="1">
        <v>0</v>
      </c>
      <c r="M86" t="s">
        <v>89</v>
      </c>
      <c r="N86" s="5" t="s">
        <v>2</v>
      </c>
    </row>
    <row r="87" spans="1:14">
      <c r="A87" s="4">
        <v>1085</v>
      </c>
      <c r="B87" s="5" t="s">
        <v>125</v>
      </c>
      <c r="C87" s="5" t="s">
        <v>107</v>
      </c>
      <c r="D87" s="5" t="s">
        <v>15</v>
      </c>
      <c r="E87" s="1">
        <v>8.8000000000000007</v>
      </c>
      <c r="F87" s="1">
        <v>8.8000000000000007</v>
      </c>
      <c r="G87" s="1">
        <v>8.8000000000000007</v>
      </c>
      <c r="H87" s="7" t="str">
        <f t="shared" ref="H87:H96" si="2">IF(D87="ELÉCTRICO","km/kwh",IF(OR(D87="GASOLINA",D87="HIBRIDO",D87="DIESEL"),"km/l","N/D"))</f>
        <v>km/kwh</v>
      </c>
      <c r="I87" s="1" cm="1">
        <f t="array" ref="I87">_xlfn.IFS(D87="GASOLINA",24,D87="HIBRIDO",24,D87="ELÉCTRICO",5,D87="DIESEL",27)</f>
        <v>5</v>
      </c>
      <c r="J87" s="1">
        <v>0</v>
      </c>
      <c r="K87" s="1">
        <v>0</v>
      </c>
      <c r="L87" s="1">
        <v>0</v>
      </c>
      <c r="M87" t="s">
        <v>89</v>
      </c>
      <c r="N87" s="5" t="s">
        <v>2</v>
      </c>
    </row>
    <row r="88" spans="1:14">
      <c r="A88" s="4">
        <v>1086</v>
      </c>
      <c r="B88" s="5" t="s">
        <v>125</v>
      </c>
      <c r="C88" s="5" t="s">
        <v>108</v>
      </c>
      <c r="D88" s="5" t="s">
        <v>15</v>
      </c>
      <c r="E88" s="1">
        <v>9.8000000000000007</v>
      </c>
      <c r="F88" s="1">
        <v>9.8000000000000007</v>
      </c>
      <c r="G88" s="1">
        <v>9.8000000000000007</v>
      </c>
      <c r="H88" s="7" t="str">
        <f t="shared" si="2"/>
        <v>km/kwh</v>
      </c>
      <c r="I88" s="1" cm="1">
        <f t="array" ref="I88">_xlfn.IFS(D88="GASOLINA",24,D88="HIBRIDO",24,D88="ELÉCTRICO",5,D88="DIESEL",27)</f>
        <v>5</v>
      </c>
      <c r="J88" s="1">
        <v>0</v>
      </c>
      <c r="K88" s="1">
        <v>0</v>
      </c>
      <c r="L88" s="1">
        <v>0</v>
      </c>
      <c r="M88" t="s">
        <v>89</v>
      </c>
      <c r="N88" s="5" t="s">
        <v>489</v>
      </c>
    </row>
    <row r="89" spans="1:14">
      <c r="A89" s="4">
        <v>1087</v>
      </c>
      <c r="B89" s="5" t="s">
        <v>125</v>
      </c>
      <c r="C89" s="5" t="s">
        <v>109</v>
      </c>
      <c r="D89" s="5" t="s">
        <v>15</v>
      </c>
      <c r="E89" s="1">
        <v>5.52</v>
      </c>
      <c r="F89" s="1">
        <v>5.52</v>
      </c>
      <c r="G89" s="1">
        <v>5.52</v>
      </c>
      <c r="H89" s="7" t="str">
        <f t="shared" si="2"/>
        <v>km/kwh</v>
      </c>
      <c r="I89" s="1" cm="1">
        <f t="array" ref="I89">_xlfn.IFS(D89="GASOLINA",24,D89="HIBRIDO",24,D89="ELÉCTRICO",5,D89="DIESEL",27)</f>
        <v>5</v>
      </c>
      <c r="J89" s="1">
        <v>0</v>
      </c>
      <c r="K89" s="1">
        <v>0</v>
      </c>
      <c r="L89" s="1">
        <v>0</v>
      </c>
      <c r="M89" t="s">
        <v>89</v>
      </c>
      <c r="N89" s="5" t="s">
        <v>10</v>
      </c>
    </row>
    <row r="90" spans="1:14">
      <c r="A90" s="4">
        <v>1088</v>
      </c>
      <c r="B90" s="5" t="s">
        <v>125</v>
      </c>
      <c r="C90" s="5" t="s">
        <v>110</v>
      </c>
      <c r="D90" s="5" t="s">
        <v>15</v>
      </c>
      <c r="E90" s="1">
        <v>5.49</v>
      </c>
      <c r="F90" s="1">
        <v>5.49</v>
      </c>
      <c r="G90" s="1">
        <v>5.49</v>
      </c>
      <c r="H90" s="7" t="str">
        <f t="shared" si="2"/>
        <v>km/kwh</v>
      </c>
      <c r="I90" s="1" cm="1">
        <f t="array" ref="I90">_xlfn.IFS(D90="GASOLINA",24,D90="HIBRIDO",24,D90="ELÉCTRICO",5,D90="DIESEL",27)</f>
        <v>5</v>
      </c>
      <c r="J90" s="1">
        <v>0</v>
      </c>
      <c r="K90" s="1">
        <v>0</v>
      </c>
      <c r="L90" s="1">
        <v>0</v>
      </c>
      <c r="M90" t="s">
        <v>89</v>
      </c>
      <c r="N90" s="5" t="s">
        <v>2</v>
      </c>
    </row>
    <row r="91" spans="1:14">
      <c r="A91" s="4">
        <v>1089</v>
      </c>
      <c r="B91" s="5" t="s">
        <v>125</v>
      </c>
      <c r="C91" s="5" t="s">
        <v>111</v>
      </c>
      <c r="D91" s="5" t="s">
        <v>15</v>
      </c>
      <c r="E91" s="1">
        <v>5.8</v>
      </c>
      <c r="F91" s="1">
        <v>5.8</v>
      </c>
      <c r="G91" s="1">
        <v>5.8</v>
      </c>
      <c r="H91" s="7" t="str">
        <f t="shared" si="2"/>
        <v>km/kwh</v>
      </c>
      <c r="I91" s="1" cm="1">
        <f t="array" ref="I91">_xlfn.IFS(D91="GASOLINA",24,D91="HIBRIDO",24,D91="ELÉCTRICO",5,D91="DIESEL",27)</f>
        <v>5</v>
      </c>
      <c r="J91" s="1">
        <v>0</v>
      </c>
      <c r="K91" s="1">
        <v>0</v>
      </c>
      <c r="L91" s="1">
        <v>0</v>
      </c>
      <c r="M91" t="s">
        <v>89</v>
      </c>
      <c r="N91" s="5" t="s">
        <v>10</v>
      </c>
    </row>
    <row r="92" spans="1:14">
      <c r="A92" s="4">
        <v>1090</v>
      </c>
      <c r="B92" s="5" t="s">
        <v>125</v>
      </c>
      <c r="C92" s="5" t="s">
        <v>112</v>
      </c>
      <c r="D92" s="5" t="s">
        <v>15</v>
      </c>
      <c r="E92" s="1">
        <v>7.94</v>
      </c>
      <c r="F92" s="1">
        <v>7.94</v>
      </c>
      <c r="G92" s="1">
        <v>7.94</v>
      </c>
      <c r="H92" s="7" t="str">
        <f t="shared" si="2"/>
        <v>km/kwh</v>
      </c>
      <c r="I92" s="1" cm="1">
        <f t="array" ref="I92">_xlfn.IFS(D92="GASOLINA",24,D92="HIBRIDO",24,D92="ELÉCTRICO",5,D92="DIESEL",27)</f>
        <v>5</v>
      </c>
      <c r="J92" s="1">
        <v>0</v>
      </c>
      <c r="K92" s="1">
        <v>0</v>
      </c>
      <c r="L92" s="1">
        <v>0</v>
      </c>
      <c r="M92" t="s">
        <v>89</v>
      </c>
      <c r="N92" s="5" t="s">
        <v>2</v>
      </c>
    </row>
    <row r="93" spans="1:14">
      <c r="A93" s="4">
        <v>1091</v>
      </c>
      <c r="B93" s="5" t="s">
        <v>125</v>
      </c>
      <c r="C93" s="5" t="s">
        <v>113</v>
      </c>
      <c r="D93" s="5" t="s">
        <v>15</v>
      </c>
      <c r="E93" s="1">
        <v>7.8</v>
      </c>
      <c r="F93" s="1">
        <v>7.8</v>
      </c>
      <c r="G93" s="1">
        <v>7.8</v>
      </c>
      <c r="H93" s="7" t="str">
        <f t="shared" si="2"/>
        <v>km/kwh</v>
      </c>
      <c r="I93" s="1" cm="1">
        <f t="array" ref="I93">_xlfn.IFS(D93="GASOLINA",24,D93="HIBRIDO",24,D93="ELÉCTRICO",5,D93="DIESEL",27)</f>
        <v>5</v>
      </c>
      <c r="J93" s="1">
        <v>0</v>
      </c>
      <c r="K93" s="1">
        <v>0</v>
      </c>
      <c r="L93" s="1">
        <v>0</v>
      </c>
      <c r="M93" t="s">
        <v>89</v>
      </c>
      <c r="N93" s="5" t="s">
        <v>2</v>
      </c>
    </row>
    <row r="94" spans="1:14">
      <c r="A94" s="4">
        <v>1092</v>
      </c>
      <c r="B94" s="5" t="s">
        <v>125</v>
      </c>
      <c r="C94" s="5" t="s">
        <v>114</v>
      </c>
      <c r="D94" s="5" t="s">
        <v>15</v>
      </c>
      <c r="E94" s="1">
        <v>6.28</v>
      </c>
      <c r="F94" s="1">
        <v>6.28</v>
      </c>
      <c r="G94" s="1">
        <v>6.28</v>
      </c>
      <c r="H94" s="7" t="str">
        <f t="shared" si="2"/>
        <v>km/kwh</v>
      </c>
      <c r="I94" s="1" cm="1">
        <f t="array" ref="I94">_xlfn.IFS(D94="GASOLINA",24,D94="HIBRIDO",24,D94="ELÉCTRICO",5,D94="DIESEL",27)</f>
        <v>5</v>
      </c>
      <c r="J94" s="1">
        <v>0</v>
      </c>
      <c r="K94" s="1">
        <v>0</v>
      </c>
      <c r="L94" s="1">
        <v>0</v>
      </c>
      <c r="M94" t="s">
        <v>89</v>
      </c>
      <c r="N94" s="5" t="s">
        <v>10</v>
      </c>
    </row>
    <row r="95" spans="1:14">
      <c r="A95" s="4">
        <v>1093</v>
      </c>
      <c r="B95" s="5" t="s">
        <v>125</v>
      </c>
      <c r="C95" s="5" t="s">
        <v>115</v>
      </c>
      <c r="D95" s="5" t="s">
        <v>15</v>
      </c>
      <c r="E95" s="1">
        <v>8.14</v>
      </c>
      <c r="F95" s="1">
        <v>8.14</v>
      </c>
      <c r="G95" s="1">
        <v>8.14</v>
      </c>
      <c r="H95" s="7" t="str">
        <f t="shared" si="2"/>
        <v>km/kwh</v>
      </c>
      <c r="I95" s="1" cm="1">
        <f t="array" ref="I95">_xlfn.IFS(D95="GASOLINA",24,D95="HIBRIDO",24,D95="ELÉCTRICO",5,D95="DIESEL",27)</f>
        <v>5</v>
      </c>
      <c r="J95" s="1">
        <v>0</v>
      </c>
      <c r="K95" s="1">
        <v>0</v>
      </c>
      <c r="L95" s="1">
        <v>0</v>
      </c>
      <c r="M95" t="s">
        <v>89</v>
      </c>
      <c r="N95" s="5" t="s">
        <v>2</v>
      </c>
    </row>
    <row r="96" spans="1:14">
      <c r="A96" s="4">
        <v>1094</v>
      </c>
      <c r="B96" s="5" t="s">
        <v>125</v>
      </c>
      <c r="C96" s="5" t="s">
        <v>116</v>
      </c>
      <c r="D96" s="5" t="s">
        <v>15</v>
      </c>
      <c r="E96" s="1">
        <v>5.41</v>
      </c>
      <c r="F96" s="1">
        <v>5.41</v>
      </c>
      <c r="G96" s="1">
        <v>5.41</v>
      </c>
      <c r="H96" s="7" t="str">
        <f t="shared" si="2"/>
        <v>km/kwh</v>
      </c>
      <c r="I96" s="1" cm="1">
        <f t="array" ref="I96">_xlfn.IFS(D96="GASOLINA",24,D96="HIBRIDO",24,D96="ELÉCTRICO",5,D96="DIESEL",27)</f>
        <v>5</v>
      </c>
      <c r="J96" s="1">
        <v>0</v>
      </c>
      <c r="K96" s="1">
        <v>0</v>
      </c>
      <c r="L96" s="1">
        <v>0</v>
      </c>
      <c r="M96" t="s">
        <v>89</v>
      </c>
      <c r="N96" s="5" t="s">
        <v>2</v>
      </c>
    </row>
    <row r="97" spans="1:14">
      <c r="A97" s="4">
        <v>1095</v>
      </c>
      <c r="B97" s="5" t="s">
        <v>125</v>
      </c>
      <c r="C97" s="5" t="s">
        <v>117</v>
      </c>
      <c r="D97" s="5" t="s">
        <v>17</v>
      </c>
      <c r="E97" s="1">
        <v>21.92</v>
      </c>
      <c r="F97" s="1">
        <v>28.2</v>
      </c>
      <c r="G97" s="1">
        <v>25.6</v>
      </c>
      <c r="H97" s="7" t="str">
        <f t="shared" ref="H97:H152" si="3">IF(D97="ELÉCTRICO","km/kwh",IF(OR(D97="GASOLINA",D97="HIBRIDO",D97="DIESEL"),"km/l","N/D"))</f>
        <v>km/l</v>
      </c>
      <c r="I97" s="1" cm="1">
        <f t="array" ref="I97">_xlfn.IFS(D97="GASOLINA",24,D97="HIBRIDO",24,D97="ELÉCTRICO",5,D97="DIESEL",27)</f>
        <v>24</v>
      </c>
      <c r="J97" s="1">
        <v>107</v>
      </c>
      <c r="K97" s="1">
        <v>83</v>
      </c>
      <c r="L97" s="1">
        <v>91</v>
      </c>
      <c r="M97" t="s">
        <v>34</v>
      </c>
      <c r="N97" s="5" t="s">
        <v>10</v>
      </c>
    </row>
    <row r="98" spans="1:14">
      <c r="A98" s="4">
        <v>1096</v>
      </c>
      <c r="B98" s="5" t="s">
        <v>125</v>
      </c>
      <c r="C98" s="5" t="s">
        <v>118</v>
      </c>
      <c r="D98" s="5" t="s">
        <v>17</v>
      </c>
      <c r="E98" s="1">
        <v>90.9</v>
      </c>
      <c r="F98" s="1">
        <v>8.77</v>
      </c>
      <c r="G98" s="1">
        <v>13.02</v>
      </c>
      <c r="H98" s="7" t="str">
        <f t="shared" si="3"/>
        <v>km/l</v>
      </c>
      <c r="I98" s="1" cm="1">
        <f t="array" ref="I98">_xlfn.IFS(D98="GASOLINA",24,D98="HIBRIDO",24,D98="ELÉCTRICO",5,D98="DIESEL",27)</f>
        <v>24</v>
      </c>
      <c r="J98" s="1">
        <v>25.2</v>
      </c>
      <c r="K98" s="1">
        <v>262.39999999999998</v>
      </c>
      <c r="L98" s="1">
        <v>175.9</v>
      </c>
      <c r="M98" t="s">
        <v>34</v>
      </c>
      <c r="N98" s="5" t="s">
        <v>2</v>
      </c>
    </row>
    <row r="99" spans="1:14">
      <c r="A99" s="4">
        <v>1097</v>
      </c>
      <c r="B99" s="5" t="s">
        <v>125</v>
      </c>
      <c r="C99" s="5" t="s">
        <v>119</v>
      </c>
      <c r="D99" s="5" t="s">
        <v>17</v>
      </c>
      <c r="E99" s="1">
        <v>21.27</v>
      </c>
      <c r="F99" s="1">
        <v>20.8</v>
      </c>
      <c r="G99" s="1">
        <v>20.8</v>
      </c>
      <c r="H99" s="7" t="str">
        <f t="shared" si="3"/>
        <v>km/l</v>
      </c>
      <c r="I99" s="1" cm="1">
        <f t="array" ref="I99">_xlfn.IFS(D99="GASOLINA",24,D99="HIBRIDO",24,D99="ELÉCTRICO",5,D99="DIESEL",27)</f>
        <v>24</v>
      </c>
      <c r="J99" s="1">
        <v>107</v>
      </c>
      <c r="K99" s="1">
        <v>110</v>
      </c>
      <c r="L99" s="1">
        <v>109</v>
      </c>
      <c r="M99" t="s">
        <v>34</v>
      </c>
      <c r="N99" s="5" t="s">
        <v>2</v>
      </c>
    </row>
    <row r="100" spans="1:14">
      <c r="A100" s="4">
        <v>1098</v>
      </c>
      <c r="B100" s="5" t="s">
        <v>120</v>
      </c>
      <c r="C100" s="5" t="s">
        <v>121</v>
      </c>
      <c r="D100" s="5" t="s">
        <v>1</v>
      </c>
      <c r="E100" s="1">
        <v>7.71814</v>
      </c>
      <c r="F100" s="1">
        <v>11.5707</v>
      </c>
      <c r="G100" s="1">
        <v>9.0783743999999995</v>
      </c>
      <c r="H100" s="7" t="str">
        <f t="shared" si="3"/>
        <v>km/l</v>
      </c>
      <c r="I100" s="1" cm="1">
        <f t="array" ref="I100">_xlfn.IFS(D100="GASOLINA",24,D100="HIBRIDO",24,D100="ELÉCTRICO",5,D100="DIESEL",27)</f>
        <v>24</v>
      </c>
      <c r="J100" s="1">
        <v>304</v>
      </c>
      <c r="K100" s="1">
        <v>202</v>
      </c>
      <c r="L100" s="1">
        <v>258</v>
      </c>
      <c r="M100" t="s">
        <v>230</v>
      </c>
      <c r="N100" s="5" t="s">
        <v>10</v>
      </c>
    </row>
    <row r="101" spans="1:14">
      <c r="A101" s="4">
        <v>1099</v>
      </c>
      <c r="B101" s="5" t="s">
        <v>120</v>
      </c>
      <c r="C101" s="5" t="s">
        <v>122</v>
      </c>
      <c r="D101" s="5" t="s">
        <v>1</v>
      </c>
      <c r="E101" s="1">
        <v>5.77196</v>
      </c>
      <c r="F101" s="1">
        <v>10.2311</v>
      </c>
      <c r="G101" s="1">
        <v>7.1801955</v>
      </c>
      <c r="H101" s="7" t="str">
        <f t="shared" si="3"/>
        <v>km/l</v>
      </c>
      <c r="I101" s="1" cm="1">
        <f t="array" ref="I101">_xlfn.IFS(D101="GASOLINA",24,D101="HIBRIDO",24,D101="ELÉCTRICO",5,D101="DIESEL",27)</f>
        <v>24</v>
      </c>
      <c r="J101" s="1">
        <v>406</v>
      </c>
      <c r="K101" s="1">
        <v>229</v>
      </c>
      <c r="L101" s="1">
        <v>326</v>
      </c>
      <c r="M101" t="s">
        <v>230</v>
      </c>
      <c r="N101" s="5" t="s">
        <v>10</v>
      </c>
    </row>
    <row r="102" spans="1:14">
      <c r="A102" s="4">
        <v>1100</v>
      </c>
      <c r="B102" s="5" t="s">
        <v>120</v>
      </c>
      <c r="C102" s="5" t="s">
        <v>123</v>
      </c>
      <c r="D102" s="5" t="s">
        <v>1</v>
      </c>
      <c r="E102" s="1">
        <v>5.89114</v>
      </c>
      <c r="F102" s="1">
        <v>10.303000000000001</v>
      </c>
      <c r="G102" s="1">
        <v>7.2972893000000001</v>
      </c>
      <c r="H102" s="7" t="str">
        <f t="shared" si="3"/>
        <v>km/l</v>
      </c>
      <c r="I102" s="1" cm="1">
        <f t="array" ref="I102">_xlfn.IFS(D102="GASOLINA",24,D102="HIBRIDO",24,D102="ELÉCTRICO",5,D102="DIESEL",27)</f>
        <v>24</v>
      </c>
      <c r="J102" s="1">
        <v>398</v>
      </c>
      <c r="K102" s="1">
        <v>227</v>
      </c>
      <c r="L102" s="1">
        <v>321</v>
      </c>
      <c r="M102" t="s">
        <v>230</v>
      </c>
      <c r="N102" s="5" t="s">
        <v>10</v>
      </c>
    </row>
    <row r="103" spans="1:14">
      <c r="A103" s="4">
        <v>1101</v>
      </c>
      <c r="B103" s="5" t="s">
        <v>120</v>
      </c>
      <c r="C103" s="5" t="s">
        <v>124</v>
      </c>
      <c r="D103" s="5" t="s">
        <v>1</v>
      </c>
      <c r="E103" s="1">
        <v>7.71814</v>
      </c>
      <c r="F103" s="1">
        <v>11.5707</v>
      </c>
      <c r="G103" s="1">
        <v>9.0783743999999995</v>
      </c>
      <c r="H103" s="7" t="str">
        <f t="shared" si="3"/>
        <v>km/l</v>
      </c>
      <c r="I103" s="1" cm="1">
        <f t="array" ref="I103">_xlfn.IFS(D103="GASOLINA",24,D103="HIBRIDO",24,D103="ELÉCTRICO",5,D103="DIESEL",27)</f>
        <v>24</v>
      </c>
      <c r="J103" s="1">
        <v>304</v>
      </c>
      <c r="K103" s="1">
        <v>202</v>
      </c>
      <c r="L103" s="1">
        <v>258</v>
      </c>
      <c r="M103" t="s">
        <v>230</v>
      </c>
      <c r="N103" s="5" t="s">
        <v>10</v>
      </c>
    </row>
    <row r="104" spans="1:14">
      <c r="A104" s="4">
        <v>1102</v>
      </c>
      <c r="B104" s="5" t="s">
        <v>126</v>
      </c>
      <c r="C104" s="5" t="s">
        <v>127</v>
      </c>
      <c r="D104" s="5" t="s">
        <v>1</v>
      </c>
      <c r="E104" s="1">
        <v>9.6199999999999992</v>
      </c>
      <c r="F104" s="1">
        <v>13.74</v>
      </c>
      <c r="G104" s="1">
        <v>11.47</v>
      </c>
      <c r="H104" s="7" t="str">
        <f t="shared" si="3"/>
        <v>km/l</v>
      </c>
      <c r="I104" s="1" cm="1">
        <f t="array" ref="I104">_xlfn.IFS(D104="GASOLINA",24,D104="HIBRIDO",24,D104="ELÉCTRICO",5,D104="DIESEL",27)</f>
        <v>24</v>
      </c>
      <c r="J104" s="1">
        <v>244</v>
      </c>
      <c r="K104" s="1">
        <v>170.9</v>
      </c>
      <c r="L104" s="1">
        <v>204.7</v>
      </c>
      <c r="M104" t="s">
        <v>34</v>
      </c>
      <c r="N104" s="5" t="s">
        <v>10</v>
      </c>
    </row>
    <row r="105" spans="1:14">
      <c r="A105" s="4">
        <v>1103</v>
      </c>
      <c r="B105" s="5" t="s">
        <v>126</v>
      </c>
      <c r="C105" s="5" t="s">
        <v>128</v>
      </c>
      <c r="D105" s="5" t="s">
        <v>17</v>
      </c>
      <c r="E105" s="1">
        <v>21.3</v>
      </c>
      <c r="F105" s="1">
        <v>19.600000000000001</v>
      </c>
      <c r="G105" s="1">
        <v>20.5</v>
      </c>
      <c r="H105" s="7" t="str">
        <f t="shared" si="3"/>
        <v>km/l</v>
      </c>
      <c r="I105" s="1" cm="1">
        <f t="array" ref="I105">_xlfn.IFS(D105="GASOLINA",24,D105="HIBRIDO",24,D105="ELÉCTRICO",5,D105="DIESEL",27)</f>
        <v>24</v>
      </c>
      <c r="J105" s="1">
        <v>110.3</v>
      </c>
      <c r="K105" s="1">
        <v>120</v>
      </c>
      <c r="L105" s="1">
        <v>114.6</v>
      </c>
      <c r="M105" t="s">
        <v>34</v>
      </c>
      <c r="N105" s="5" t="s">
        <v>10</v>
      </c>
    </row>
    <row r="106" spans="1:14">
      <c r="A106" s="4">
        <v>1104</v>
      </c>
      <c r="B106" s="5" t="s">
        <v>126</v>
      </c>
      <c r="C106" s="5" t="s">
        <v>129</v>
      </c>
      <c r="D106" s="5" t="s">
        <v>17</v>
      </c>
      <c r="E106" s="1">
        <v>27.7</v>
      </c>
      <c r="F106" s="1">
        <v>26.8</v>
      </c>
      <c r="G106" s="1">
        <v>27.2</v>
      </c>
      <c r="H106" s="7" t="str">
        <f t="shared" si="3"/>
        <v>km/l</v>
      </c>
      <c r="I106" s="1" cm="1">
        <f t="array" ref="I106">_xlfn.IFS(D106="GASOLINA",24,D106="HIBRIDO",24,D106="ELÉCTRICO",5,D106="DIESEL",27)</f>
        <v>24</v>
      </c>
      <c r="J106" s="1">
        <v>84.9</v>
      </c>
      <c r="K106" s="1">
        <v>87.7</v>
      </c>
      <c r="L106" s="1">
        <v>86.2</v>
      </c>
      <c r="M106" t="s">
        <v>34</v>
      </c>
      <c r="N106" s="5" t="s">
        <v>10</v>
      </c>
    </row>
    <row r="107" spans="1:14">
      <c r="A107" s="4">
        <v>1105</v>
      </c>
      <c r="B107" s="5" t="s">
        <v>126</v>
      </c>
      <c r="C107" s="5" t="s">
        <v>130</v>
      </c>
      <c r="D107" s="5" t="s">
        <v>1</v>
      </c>
      <c r="E107" s="1">
        <v>10.09</v>
      </c>
      <c r="F107" s="1">
        <v>14.59</v>
      </c>
      <c r="G107" s="1">
        <v>12.12</v>
      </c>
      <c r="H107" s="7" t="str">
        <f t="shared" si="3"/>
        <v>km/l</v>
      </c>
      <c r="I107" s="1" cm="1">
        <f t="array" ref="I107">_xlfn.IFS(D107="GASOLINA",24,D107="HIBRIDO",24,D107="ELÉCTRICO",5,D107="DIESEL",27)</f>
        <v>24</v>
      </c>
      <c r="J107" s="1">
        <v>232.7</v>
      </c>
      <c r="K107" s="1">
        <v>160.9</v>
      </c>
      <c r="L107" s="1">
        <v>193.7</v>
      </c>
      <c r="M107" t="s">
        <v>34</v>
      </c>
      <c r="N107" s="5" t="s">
        <v>10</v>
      </c>
    </row>
    <row r="108" spans="1:14">
      <c r="A108" s="4">
        <v>1106</v>
      </c>
      <c r="B108" s="5" t="s">
        <v>126</v>
      </c>
      <c r="C108" s="5" t="s">
        <v>131</v>
      </c>
      <c r="D108" s="5" t="s">
        <v>1</v>
      </c>
      <c r="E108" s="1">
        <v>12.6</v>
      </c>
      <c r="F108" s="1">
        <v>20.399999999999999</v>
      </c>
      <c r="G108" s="1">
        <v>16.100000000000001</v>
      </c>
      <c r="H108" s="7" t="str">
        <f t="shared" si="3"/>
        <v>km/l</v>
      </c>
      <c r="I108" s="1" cm="1">
        <f t="array" ref="I108">_xlfn.IFS(D108="GASOLINA",24,D108="HIBRIDO",24,D108="ELÉCTRICO",5,D108="DIESEL",27)</f>
        <v>24</v>
      </c>
      <c r="J108" s="1">
        <v>186.3</v>
      </c>
      <c r="K108" s="1">
        <v>115.1</v>
      </c>
      <c r="L108" s="1">
        <v>145.80000000000001</v>
      </c>
      <c r="M108" t="s">
        <v>34</v>
      </c>
      <c r="N108" s="5" t="s">
        <v>10</v>
      </c>
    </row>
    <row r="109" spans="1:14">
      <c r="A109" s="4">
        <v>1107</v>
      </c>
      <c r="B109" s="5" t="s">
        <v>126</v>
      </c>
      <c r="C109" s="5" t="s">
        <v>132</v>
      </c>
      <c r="D109" s="5" t="s">
        <v>1</v>
      </c>
      <c r="E109" s="1">
        <v>13.55</v>
      </c>
      <c r="F109" s="1">
        <v>17.93</v>
      </c>
      <c r="G109" s="1">
        <v>15.22</v>
      </c>
      <c r="H109" s="7" t="str">
        <f t="shared" si="3"/>
        <v>km/l</v>
      </c>
      <c r="I109" s="1" cm="1">
        <f t="array" ref="I109">_xlfn.IFS(D109="GASOLINA",24,D109="HIBRIDO",24,D109="ELÉCTRICO",5,D109="DIESEL",27)</f>
        <v>24</v>
      </c>
      <c r="J109" s="1">
        <v>174.38</v>
      </c>
      <c r="K109" s="1">
        <v>131.94999999999999</v>
      </c>
      <c r="L109" s="1">
        <v>155.29</v>
      </c>
      <c r="M109" t="s">
        <v>34</v>
      </c>
      <c r="N109" s="5" t="s">
        <v>2</v>
      </c>
    </row>
    <row r="110" spans="1:14">
      <c r="A110" s="4">
        <v>1108</v>
      </c>
      <c r="B110" s="5" t="s">
        <v>126</v>
      </c>
      <c r="C110" s="5" t="s">
        <v>133</v>
      </c>
      <c r="D110" s="5" t="s">
        <v>1</v>
      </c>
      <c r="E110" s="1">
        <v>13.25</v>
      </c>
      <c r="F110" s="1">
        <v>16.989999999999998</v>
      </c>
      <c r="G110" s="1">
        <v>14.7</v>
      </c>
      <c r="H110" s="7" t="str">
        <f t="shared" si="3"/>
        <v>km/l</v>
      </c>
      <c r="I110" s="1" cm="1">
        <f t="array" ref="I110">_xlfn.IFS(D110="GASOLINA",24,D110="HIBRIDO",24,D110="ELÉCTRICO",5,D110="DIESEL",27)</f>
        <v>24</v>
      </c>
      <c r="J110" s="1">
        <v>176.67</v>
      </c>
      <c r="K110" s="1">
        <v>138.63999999999999</v>
      </c>
      <c r="L110" s="1">
        <v>159.56</v>
      </c>
      <c r="M110" t="s">
        <v>34</v>
      </c>
      <c r="N110" s="5" t="s">
        <v>2</v>
      </c>
    </row>
    <row r="111" spans="1:14">
      <c r="A111" s="4">
        <v>1109</v>
      </c>
      <c r="B111" s="5" t="s">
        <v>126</v>
      </c>
      <c r="C111" s="5" t="s">
        <v>134</v>
      </c>
      <c r="D111" s="5" t="s">
        <v>15</v>
      </c>
      <c r="E111" s="1">
        <v>0</v>
      </c>
      <c r="F111" s="1">
        <v>0</v>
      </c>
      <c r="G111" s="1">
        <v>0</v>
      </c>
      <c r="H111" s="7" t="str">
        <f t="shared" si="3"/>
        <v>km/kwh</v>
      </c>
      <c r="I111" s="1" cm="1">
        <f t="array" ref="I111">_xlfn.IFS(D111="GASOLINA",24,D111="HIBRIDO",24,D111="ELÉCTRICO",5,D111="DIESEL",27)</f>
        <v>5</v>
      </c>
      <c r="J111" s="1">
        <v>0</v>
      </c>
      <c r="K111" s="1">
        <v>0</v>
      </c>
      <c r="L111" s="1">
        <v>0</v>
      </c>
      <c r="M111" t="s">
        <v>89</v>
      </c>
      <c r="N111" s="5" t="s">
        <v>2</v>
      </c>
    </row>
    <row r="112" spans="1:14">
      <c r="A112" s="4">
        <v>1110</v>
      </c>
      <c r="B112" s="5" t="s">
        <v>126</v>
      </c>
      <c r="C112" s="5" t="s">
        <v>135</v>
      </c>
      <c r="D112" s="5" t="s">
        <v>17</v>
      </c>
      <c r="E112" s="1">
        <v>16.8</v>
      </c>
      <c r="F112" s="1">
        <v>14.9</v>
      </c>
      <c r="G112" s="1">
        <v>15.9</v>
      </c>
      <c r="H112" s="7" t="str">
        <f t="shared" si="3"/>
        <v>km/l</v>
      </c>
      <c r="I112" s="1" cm="1">
        <f t="array" ref="I112">_xlfn.IFS(D112="GASOLINA",24,D112="HIBRIDO",24,D112="ELÉCTRICO",5,D112="DIESEL",27)</f>
        <v>24</v>
      </c>
      <c r="J112" s="1">
        <v>142.1</v>
      </c>
      <c r="K112" s="1">
        <v>160.1</v>
      </c>
      <c r="L112" s="1">
        <v>150.19999999999999</v>
      </c>
      <c r="M112" t="s">
        <v>34</v>
      </c>
      <c r="N112" s="5" t="s">
        <v>10</v>
      </c>
    </row>
    <row r="113" spans="1:14">
      <c r="A113" s="4">
        <v>1111</v>
      </c>
      <c r="B113" s="5" t="s">
        <v>126</v>
      </c>
      <c r="C113" s="5" t="s">
        <v>136</v>
      </c>
      <c r="D113" s="5" t="s">
        <v>17</v>
      </c>
      <c r="E113" s="1">
        <v>17.8</v>
      </c>
      <c r="F113" s="1">
        <v>15.1</v>
      </c>
      <c r="G113" s="1">
        <v>16.5</v>
      </c>
      <c r="H113" s="7" t="str">
        <f t="shared" si="3"/>
        <v>km/l</v>
      </c>
      <c r="I113" s="1" cm="1">
        <f t="array" ref="I113">_xlfn.IFS(D113="GASOLINA",24,D113="HIBRIDO",24,D113="ELÉCTRICO",5,D113="DIESEL",27)</f>
        <v>24</v>
      </c>
      <c r="J113" s="1">
        <v>134.69999999999999</v>
      </c>
      <c r="K113" s="1">
        <v>158.1</v>
      </c>
      <c r="L113" s="1">
        <v>145.19999999999999</v>
      </c>
      <c r="M113" t="s">
        <v>34</v>
      </c>
      <c r="N113" s="5" t="s">
        <v>10</v>
      </c>
    </row>
    <row r="114" spans="1:14">
      <c r="A114" s="4">
        <v>1112</v>
      </c>
      <c r="B114" s="5" t="s">
        <v>126</v>
      </c>
      <c r="C114" s="5" t="s">
        <v>137</v>
      </c>
      <c r="D114" s="5" t="s">
        <v>1</v>
      </c>
      <c r="E114" s="1">
        <v>12.7</v>
      </c>
      <c r="F114" s="1">
        <v>19.5</v>
      </c>
      <c r="G114" s="1">
        <v>15.2</v>
      </c>
      <c r="H114" s="7" t="str">
        <f t="shared" si="3"/>
        <v>km/l</v>
      </c>
      <c r="I114" s="1" cm="1">
        <f t="array" ref="I114">_xlfn.IFS(D114="GASOLINA",24,D114="HIBRIDO",24,D114="ELÉCTRICO",5,D114="DIESEL",27)</f>
        <v>24</v>
      </c>
      <c r="J114" s="1">
        <v>185.4</v>
      </c>
      <c r="K114" s="1">
        <v>122.7</v>
      </c>
      <c r="L114" s="1">
        <v>150.80000000000001</v>
      </c>
      <c r="M114" t="s">
        <v>34</v>
      </c>
      <c r="N114" s="5" t="s">
        <v>4</v>
      </c>
    </row>
    <row r="115" spans="1:14">
      <c r="A115" s="4">
        <v>1113</v>
      </c>
      <c r="B115" s="5" t="s">
        <v>126</v>
      </c>
      <c r="C115" s="5" t="s">
        <v>138</v>
      </c>
      <c r="D115" s="5" t="s">
        <v>1</v>
      </c>
      <c r="E115" s="1">
        <v>13.3</v>
      </c>
      <c r="F115" s="1">
        <v>22.8</v>
      </c>
      <c r="G115" s="1">
        <v>16.600000000000001</v>
      </c>
      <c r="H115" s="7" t="str">
        <f t="shared" si="3"/>
        <v>km/l</v>
      </c>
      <c r="I115" s="1" cm="1">
        <f t="array" ref="I115">_xlfn.IFS(D115="GASOLINA",24,D115="HIBRIDO",24,D115="ELÉCTRICO",5,D115="DIESEL",27)</f>
        <v>24</v>
      </c>
      <c r="J115" s="1">
        <v>176.8</v>
      </c>
      <c r="K115" s="1">
        <v>104.9</v>
      </c>
      <c r="L115" s="1">
        <v>135.22</v>
      </c>
      <c r="M115" t="s">
        <v>34</v>
      </c>
      <c r="N115" s="5" t="s">
        <v>2</v>
      </c>
    </row>
    <row r="116" spans="1:14">
      <c r="A116" s="4">
        <v>1114</v>
      </c>
      <c r="B116" s="5" t="s">
        <v>126</v>
      </c>
      <c r="C116" s="5" t="s">
        <v>139</v>
      </c>
      <c r="D116" s="5" t="s">
        <v>1</v>
      </c>
      <c r="E116" s="1">
        <v>10.28</v>
      </c>
      <c r="F116" s="1">
        <v>16.21</v>
      </c>
      <c r="G116" s="1">
        <v>12.31</v>
      </c>
      <c r="H116" s="7" t="str">
        <f t="shared" si="3"/>
        <v>km/l</v>
      </c>
      <c r="I116" s="1" cm="1">
        <f t="array" ref="I116">_xlfn.IFS(D116="GASOLINA",24,D116="HIBRIDO",24,D116="ELÉCTRICO",5,D116="DIESEL",27)</f>
        <v>24</v>
      </c>
      <c r="J116" s="1">
        <v>228.4</v>
      </c>
      <c r="K116" s="1">
        <v>114.8</v>
      </c>
      <c r="L116" s="1">
        <v>190.7</v>
      </c>
      <c r="M116" t="s">
        <v>34</v>
      </c>
      <c r="N116" s="5" t="s">
        <v>10</v>
      </c>
    </row>
    <row r="117" spans="1:14">
      <c r="A117" s="4">
        <v>1115</v>
      </c>
      <c r="B117" s="5" t="s">
        <v>126</v>
      </c>
      <c r="C117" s="5" t="s">
        <v>140</v>
      </c>
      <c r="D117" s="5" t="s">
        <v>1</v>
      </c>
      <c r="E117" s="1">
        <v>14.86</v>
      </c>
      <c r="F117" s="1">
        <v>26.44</v>
      </c>
      <c r="G117" s="1">
        <v>18.510000000000002</v>
      </c>
      <c r="H117" s="7" t="str">
        <f t="shared" si="3"/>
        <v>km/l</v>
      </c>
      <c r="I117" s="1" cm="1">
        <f t="array" ref="I117">_xlfn.IFS(D117="GASOLINA",24,D117="HIBRIDO",24,D117="ELÉCTRICO",5,D117="DIESEL",27)</f>
        <v>24</v>
      </c>
      <c r="J117" s="1">
        <v>162.5</v>
      </c>
      <c r="K117" s="1">
        <v>91.5</v>
      </c>
      <c r="L117" s="1">
        <v>130.6</v>
      </c>
      <c r="M117" t="s">
        <v>34</v>
      </c>
      <c r="N117" s="5" t="s">
        <v>4</v>
      </c>
    </row>
    <row r="118" spans="1:14">
      <c r="A118" s="4">
        <v>1116</v>
      </c>
      <c r="B118" s="5" t="s">
        <v>126</v>
      </c>
      <c r="C118" s="5" t="s">
        <v>141</v>
      </c>
      <c r="D118" s="5" t="s">
        <v>1</v>
      </c>
      <c r="E118" s="1">
        <v>13.5</v>
      </c>
      <c r="F118" s="1">
        <v>19.399999999999999</v>
      </c>
      <c r="G118" s="1">
        <v>15.7</v>
      </c>
      <c r="H118" s="7" t="str">
        <f t="shared" si="3"/>
        <v>km/l</v>
      </c>
      <c r="I118" s="1" cm="1">
        <f t="array" ref="I118">_xlfn.IFS(D118="GASOLINA",24,D118="HIBRIDO",24,D118="ELÉCTRICO",5,D118="DIESEL",27)</f>
        <v>24</v>
      </c>
      <c r="J118" s="1">
        <v>176.5</v>
      </c>
      <c r="K118" s="1">
        <v>123.3</v>
      </c>
      <c r="L118" s="1">
        <v>152.6</v>
      </c>
      <c r="M118" t="s">
        <v>34</v>
      </c>
      <c r="N118" s="5" t="s">
        <v>10</v>
      </c>
    </row>
    <row r="119" spans="1:14">
      <c r="A119" s="4">
        <v>1117</v>
      </c>
      <c r="B119" s="5" t="s">
        <v>126</v>
      </c>
      <c r="C119" s="5" t="s">
        <v>142</v>
      </c>
      <c r="D119" s="5" t="s">
        <v>1</v>
      </c>
      <c r="E119" s="1">
        <v>11.56</v>
      </c>
      <c r="F119" s="1">
        <v>17.46</v>
      </c>
      <c r="G119" s="1">
        <v>13.63</v>
      </c>
      <c r="H119" s="7" t="str">
        <f t="shared" si="3"/>
        <v>km/l</v>
      </c>
      <c r="I119" s="1" cm="1">
        <f t="array" ref="I119">_xlfn.IFS(D119="GASOLINA",24,D119="HIBRIDO",24,D119="ELÉCTRICO",5,D119="DIESEL",27)</f>
        <v>24</v>
      </c>
      <c r="J119" s="1">
        <v>204.79</v>
      </c>
      <c r="K119" s="1">
        <v>135.72</v>
      </c>
      <c r="L119" s="1">
        <v>172.244</v>
      </c>
      <c r="M119" t="s">
        <v>34</v>
      </c>
      <c r="N119" s="5" t="s">
        <v>10</v>
      </c>
    </row>
    <row r="120" spans="1:14">
      <c r="A120" s="4">
        <v>1118</v>
      </c>
      <c r="B120" s="5" t="s">
        <v>126</v>
      </c>
      <c r="C120" s="5" t="s">
        <v>143</v>
      </c>
      <c r="D120" s="5" t="s">
        <v>1</v>
      </c>
      <c r="E120" s="1">
        <v>11.75</v>
      </c>
      <c r="F120" s="1">
        <v>17.32</v>
      </c>
      <c r="G120" s="1">
        <v>13.74</v>
      </c>
      <c r="H120" s="7" t="str">
        <f t="shared" si="3"/>
        <v>km/l</v>
      </c>
      <c r="I120" s="1" cm="1">
        <f t="array" ref="I120">_xlfn.IFS(D120="GASOLINA",24,D120="HIBRIDO",24,D120="ELÉCTRICO",5,D120="DIESEL",27)</f>
        <v>24</v>
      </c>
      <c r="J120" s="1">
        <v>199.8</v>
      </c>
      <c r="K120" s="1">
        <v>135.5</v>
      </c>
      <c r="L120" s="1">
        <v>170.9</v>
      </c>
      <c r="M120" t="s">
        <v>34</v>
      </c>
      <c r="N120" s="5" t="s">
        <v>10</v>
      </c>
    </row>
    <row r="121" spans="1:14">
      <c r="A121" s="4">
        <v>1119</v>
      </c>
      <c r="B121" s="5" t="s">
        <v>126</v>
      </c>
      <c r="C121" s="5" t="s">
        <v>144</v>
      </c>
      <c r="D121" s="5" t="s">
        <v>1</v>
      </c>
      <c r="E121" s="1">
        <v>9.98</v>
      </c>
      <c r="F121" s="1">
        <v>14.14</v>
      </c>
      <c r="G121" s="1">
        <v>11.5</v>
      </c>
      <c r="H121" s="7" t="str">
        <f t="shared" si="3"/>
        <v>km/l</v>
      </c>
      <c r="I121" s="1" cm="1">
        <f t="array" ref="I121">_xlfn.IFS(D121="GASOLINA",24,D121="HIBRIDO",24,D121="ELÉCTRICO",5,D121="DIESEL",27)</f>
        <v>24</v>
      </c>
      <c r="J121" s="1">
        <v>236.64</v>
      </c>
      <c r="K121" s="1">
        <v>167.3</v>
      </c>
      <c r="L121" s="1">
        <v>205.44</v>
      </c>
      <c r="M121" t="s">
        <v>34</v>
      </c>
      <c r="N121" s="5" t="s">
        <v>10</v>
      </c>
    </row>
    <row r="122" spans="1:14">
      <c r="A122" s="4">
        <v>1120</v>
      </c>
      <c r="B122" s="5" t="s">
        <v>126</v>
      </c>
      <c r="C122" s="5" t="s">
        <v>145</v>
      </c>
      <c r="D122" s="5" t="s">
        <v>1</v>
      </c>
      <c r="E122" s="1">
        <v>9.6300000000000008</v>
      </c>
      <c r="F122" s="1">
        <v>12.93</v>
      </c>
      <c r="G122" s="1">
        <v>10.88</v>
      </c>
      <c r="H122" s="7" t="str">
        <f t="shared" si="3"/>
        <v>km/l</v>
      </c>
      <c r="I122" s="1" cm="1">
        <f t="array" ref="I122">_xlfn.IFS(D122="GASOLINA",24,D122="HIBRIDO",24,D122="ELÉCTRICO",5,D122="DIESEL",27)</f>
        <v>24</v>
      </c>
      <c r="J122" s="1">
        <v>244.6</v>
      </c>
      <c r="K122" s="1">
        <v>182</v>
      </c>
      <c r="L122" s="1">
        <v>215.6</v>
      </c>
      <c r="M122" t="s">
        <v>34</v>
      </c>
      <c r="N122" s="5" t="s">
        <v>10</v>
      </c>
    </row>
    <row r="123" spans="1:14">
      <c r="A123" s="4">
        <v>1121</v>
      </c>
      <c r="B123" s="5" t="s">
        <v>126</v>
      </c>
      <c r="C123" s="5" t="s">
        <v>146</v>
      </c>
      <c r="D123" s="5" t="s">
        <v>1</v>
      </c>
      <c r="E123" s="1">
        <v>10.64</v>
      </c>
      <c r="F123" s="1">
        <v>15.08</v>
      </c>
      <c r="G123" s="1">
        <v>12.26</v>
      </c>
      <c r="H123" s="7" t="str">
        <f t="shared" si="3"/>
        <v>km/l</v>
      </c>
      <c r="I123" s="1" cm="1">
        <f t="array" ref="I123">_xlfn.IFS(D123="GASOLINA",24,D123="HIBRIDO",24,D123="ELÉCTRICO",5,D123="DIESEL",27)</f>
        <v>24</v>
      </c>
      <c r="J123" s="1">
        <v>219.4</v>
      </c>
      <c r="K123" s="1">
        <v>155.5</v>
      </c>
      <c r="L123" s="1">
        <v>190.9</v>
      </c>
      <c r="M123" t="s">
        <v>34</v>
      </c>
      <c r="N123" s="5" t="s">
        <v>2</v>
      </c>
    </row>
    <row r="124" spans="1:14">
      <c r="A124" s="4">
        <v>1122</v>
      </c>
      <c r="B124" s="5" t="s">
        <v>126</v>
      </c>
      <c r="C124" s="5" t="s">
        <v>147</v>
      </c>
      <c r="D124" s="5" t="s">
        <v>1</v>
      </c>
      <c r="E124" s="1">
        <v>13.6</v>
      </c>
      <c r="F124" s="1">
        <v>17.559999999999999</v>
      </c>
      <c r="G124" s="1">
        <v>15.14</v>
      </c>
      <c r="H124" s="7" t="str">
        <f t="shared" si="3"/>
        <v>km/l</v>
      </c>
      <c r="I124" s="1" cm="1">
        <f t="array" ref="I124">_xlfn.IFS(D124="GASOLINA",24,D124="HIBRIDO",24,D124="ELÉCTRICO",5,D124="DIESEL",27)</f>
        <v>24</v>
      </c>
      <c r="J124" s="1">
        <v>172.6</v>
      </c>
      <c r="K124" s="1">
        <v>133.69999999999999</v>
      </c>
      <c r="L124" s="1">
        <v>155.1</v>
      </c>
      <c r="M124" t="s">
        <v>34</v>
      </c>
      <c r="N124" s="5" t="s">
        <v>10</v>
      </c>
    </row>
    <row r="125" spans="1:14">
      <c r="A125" s="4">
        <v>1123</v>
      </c>
      <c r="B125" s="5" t="s">
        <v>126</v>
      </c>
      <c r="C125" s="5" t="s">
        <v>148</v>
      </c>
      <c r="D125" s="5" t="s">
        <v>1</v>
      </c>
      <c r="E125" s="1">
        <v>10.64</v>
      </c>
      <c r="F125" s="1">
        <v>15.08</v>
      </c>
      <c r="G125" s="1">
        <v>12.26</v>
      </c>
      <c r="H125" s="7" t="str">
        <f t="shared" si="3"/>
        <v>km/l</v>
      </c>
      <c r="I125" s="1" cm="1">
        <f t="array" ref="I125">_xlfn.IFS(D125="GASOLINA",24,D125="HIBRIDO",24,D125="ELÉCTRICO",5,D125="DIESEL",27)</f>
        <v>24</v>
      </c>
      <c r="J125" s="1">
        <v>219.4</v>
      </c>
      <c r="K125" s="1">
        <v>155.5</v>
      </c>
      <c r="L125" s="1">
        <v>190.9</v>
      </c>
      <c r="M125" t="s">
        <v>34</v>
      </c>
      <c r="N125" s="5" t="s">
        <v>2</v>
      </c>
    </row>
    <row r="126" spans="1:14">
      <c r="A126" s="4">
        <v>1124</v>
      </c>
      <c r="B126" s="5" t="s">
        <v>126</v>
      </c>
      <c r="C126" s="5" t="s">
        <v>149</v>
      </c>
      <c r="D126" s="5" t="s">
        <v>1</v>
      </c>
      <c r="E126" s="1">
        <v>10.64</v>
      </c>
      <c r="F126" s="1">
        <v>15.08</v>
      </c>
      <c r="G126" s="1">
        <v>12.26</v>
      </c>
      <c r="H126" s="7" t="str">
        <f t="shared" si="3"/>
        <v>km/l</v>
      </c>
      <c r="I126" s="1" cm="1">
        <f t="array" ref="I126">_xlfn.IFS(D126="GASOLINA",24,D126="HIBRIDO",24,D126="ELÉCTRICO",5,D126="DIESEL",27)</f>
        <v>24</v>
      </c>
      <c r="J126" s="1">
        <v>219.4</v>
      </c>
      <c r="K126" s="1">
        <v>155.5</v>
      </c>
      <c r="L126" s="1">
        <v>190.9</v>
      </c>
      <c r="M126" t="s">
        <v>34</v>
      </c>
      <c r="N126" s="5" t="s">
        <v>2</v>
      </c>
    </row>
    <row r="127" spans="1:14">
      <c r="A127" s="4">
        <v>1125</v>
      </c>
      <c r="B127" s="5" t="s">
        <v>126</v>
      </c>
      <c r="C127" s="5" t="s">
        <v>150</v>
      </c>
      <c r="D127" s="5" t="s">
        <v>1</v>
      </c>
      <c r="E127" s="1">
        <v>11.3</v>
      </c>
      <c r="F127" s="1">
        <v>17.899999999999999</v>
      </c>
      <c r="G127" s="1">
        <v>13.7</v>
      </c>
      <c r="H127" s="7" t="str">
        <f t="shared" si="3"/>
        <v>km/l</v>
      </c>
      <c r="I127" s="1" cm="1">
        <f t="array" ref="I127">_xlfn.IFS(D127="GASOLINA",24,D127="HIBRIDO",24,D127="ELÉCTRICO",5,D127="DIESEL",27)</f>
        <v>24</v>
      </c>
      <c r="J127" s="1">
        <v>207.9</v>
      </c>
      <c r="K127" s="1">
        <v>133.9</v>
      </c>
      <c r="L127" s="1">
        <v>166.7</v>
      </c>
      <c r="M127" t="s">
        <v>34</v>
      </c>
      <c r="N127" s="5" t="s">
        <v>10</v>
      </c>
    </row>
    <row r="128" spans="1:14">
      <c r="A128" s="4">
        <v>1126</v>
      </c>
      <c r="B128" s="5" t="s">
        <v>126</v>
      </c>
      <c r="C128" s="5" t="s">
        <v>151</v>
      </c>
      <c r="D128" s="5" t="s">
        <v>1</v>
      </c>
      <c r="E128" s="1">
        <v>12.75</v>
      </c>
      <c r="F128" s="1">
        <v>18.78</v>
      </c>
      <c r="G128" s="1">
        <v>14.9</v>
      </c>
      <c r="H128" s="7" t="str">
        <f t="shared" si="3"/>
        <v>km/l</v>
      </c>
      <c r="I128" s="1" cm="1">
        <f t="array" ref="I128">_xlfn.IFS(D128="GASOLINA",24,D128="HIBRIDO",24,D128="ELÉCTRICO",5,D128="DIESEL",27)</f>
        <v>24</v>
      </c>
      <c r="J128" s="1">
        <v>178.9</v>
      </c>
      <c r="K128" s="1">
        <v>121.65</v>
      </c>
      <c r="L128" s="1">
        <v>153.13999999999999</v>
      </c>
      <c r="M128" t="s">
        <v>34</v>
      </c>
      <c r="N128" s="5" t="s">
        <v>10</v>
      </c>
    </row>
    <row r="129" spans="1:14">
      <c r="A129" s="4">
        <v>1127</v>
      </c>
      <c r="B129" s="5" t="s">
        <v>126</v>
      </c>
      <c r="C129" s="5" t="s">
        <v>152</v>
      </c>
      <c r="D129" s="5" t="s">
        <v>1</v>
      </c>
      <c r="E129" s="1">
        <v>13.39</v>
      </c>
      <c r="F129" s="1">
        <v>19.52</v>
      </c>
      <c r="G129" s="1">
        <v>15.6</v>
      </c>
      <c r="H129" s="7" t="str">
        <f t="shared" si="3"/>
        <v>km/l</v>
      </c>
      <c r="I129" s="1" cm="1">
        <f t="array" ref="I129">_xlfn.IFS(D129="GASOLINA",24,D129="HIBRIDO",24,D129="ELÉCTRICO",5,D129="DIESEL",27)</f>
        <v>24</v>
      </c>
      <c r="J129" s="1">
        <v>170.54</v>
      </c>
      <c r="K129" s="1">
        <v>116.92</v>
      </c>
      <c r="L129" s="1">
        <v>146.41</v>
      </c>
      <c r="M129" t="s">
        <v>34</v>
      </c>
      <c r="N129" s="5" t="s">
        <v>10</v>
      </c>
    </row>
    <row r="130" spans="1:14">
      <c r="A130" s="4">
        <v>1128</v>
      </c>
      <c r="B130" s="5" t="s">
        <v>126</v>
      </c>
      <c r="C130" s="5" t="s">
        <v>151</v>
      </c>
      <c r="D130" s="5" t="s">
        <v>1</v>
      </c>
      <c r="E130" s="1">
        <v>13.72</v>
      </c>
      <c r="F130" s="1">
        <v>18.989999999999998</v>
      </c>
      <c r="G130" s="1">
        <v>15.68</v>
      </c>
      <c r="H130" s="7" t="str">
        <f t="shared" si="3"/>
        <v>km/l</v>
      </c>
      <c r="I130" s="1" cm="1">
        <f t="array" ref="I130">_xlfn.IFS(D130="GASOLINA",24,D130="HIBRIDO",24,D130="ELÉCTRICO",5,D130="DIESEL",27)</f>
        <v>24</v>
      </c>
      <c r="J130" s="1">
        <v>172.45</v>
      </c>
      <c r="K130" s="1">
        <v>124.69</v>
      </c>
      <c r="L130" s="1">
        <v>149.72</v>
      </c>
      <c r="M130" t="s">
        <v>34</v>
      </c>
      <c r="N130" s="5" t="s">
        <v>2</v>
      </c>
    </row>
    <row r="131" spans="1:14">
      <c r="A131" s="4">
        <v>1129</v>
      </c>
      <c r="B131" s="5" t="s">
        <v>126</v>
      </c>
      <c r="C131" s="5" t="s">
        <v>153</v>
      </c>
      <c r="D131" s="5" t="s">
        <v>1</v>
      </c>
      <c r="E131" s="1">
        <v>13.99</v>
      </c>
      <c r="F131" s="1">
        <v>19.87</v>
      </c>
      <c r="G131" s="1">
        <v>16.14</v>
      </c>
      <c r="H131" s="7" t="str">
        <f t="shared" si="3"/>
        <v>km/l</v>
      </c>
      <c r="I131" s="1" cm="1">
        <f t="array" ref="I131">_xlfn.IFS(D131="GASOLINA",24,D131="HIBRIDO",24,D131="ELÉCTRICO",5,D131="DIESEL",27)</f>
        <v>24</v>
      </c>
      <c r="J131" s="1">
        <v>169.14</v>
      </c>
      <c r="K131" s="1">
        <v>119.24</v>
      </c>
      <c r="L131" s="1">
        <v>145.44999999999999</v>
      </c>
      <c r="M131" t="s">
        <v>34</v>
      </c>
      <c r="N131" s="5" t="s">
        <v>10</v>
      </c>
    </row>
    <row r="132" spans="1:14">
      <c r="A132" s="4">
        <v>1130</v>
      </c>
      <c r="B132" s="5" t="s">
        <v>219</v>
      </c>
      <c r="C132" s="5" t="s">
        <v>154</v>
      </c>
      <c r="D132" s="5" t="s">
        <v>1</v>
      </c>
      <c r="E132" s="1">
        <v>19.850000000000001</v>
      </c>
      <c r="F132" s="1">
        <v>30.06</v>
      </c>
      <c r="G132" s="1">
        <v>23.43</v>
      </c>
      <c r="H132" s="7" t="str">
        <f t="shared" si="3"/>
        <v>km/l</v>
      </c>
      <c r="I132" s="1" cm="1">
        <f t="array" ref="I132">_xlfn.IFS(D132="GASOLINA",24,D132="HIBRIDO",24,D132="ELÉCTRICO",5,D132="DIESEL",27)</f>
        <v>24</v>
      </c>
      <c r="J132" s="1">
        <v>118</v>
      </c>
      <c r="K132" s="1">
        <v>78</v>
      </c>
      <c r="L132" s="1">
        <v>100</v>
      </c>
      <c r="M132" t="s">
        <v>354</v>
      </c>
      <c r="N132" s="5" t="s">
        <v>2</v>
      </c>
    </row>
    <row r="133" spans="1:14">
      <c r="A133" s="4">
        <v>1131</v>
      </c>
      <c r="B133" s="5" t="s">
        <v>219</v>
      </c>
      <c r="C133" s="5" t="s">
        <v>155</v>
      </c>
      <c r="D133" s="5" t="s">
        <v>1</v>
      </c>
      <c r="E133" s="1">
        <v>19.190000000000001</v>
      </c>
      <c r="F133" s="1">
        <v>31.63</v>
      </c>
      <c r="G133" s="1">
        <v>23.32</v>
      </c>
      <c r="H133" s="7" t="str">
        <f t="shared" si="3"/>
        <v>km/l</v>
      </c>
      <c r="I133" s="1" cm="1">
        <f t="array" ref="I133">_xlfn.IFS(D133="GASOLINA",24,D133="HIBRIDO",24,D133="ELÉCTRICO",5,D133="DIESEL",27)</f>
        <v>24</v>
      </c>
      <c r="J133" s="1">
        <v>122</v>
      </c>
      <c r="K133" s="1">
        <v>74</v>
      </c>
      <c r="L133" s="1">
        <v>100</v>
      </c>
      <c r="M133" t="s">
        <v>354</v>
      </c>
      <c r="N133" s="5" t="s">
        <v>10</v>
      </c>
    </row>
    <row r="134" spans="1:14">
      <c r="A134" s="4">
        <v>1132</v>
      </c>
      <c r="B134" s="5" t="s">
        <v>219</v>
      </c>
      <c r="C134" s="5" t="s">
        <v>156</v>
      </c>
      <c r="D134" s="5" t="s">
        <v>1</v>
      </c>
      <c r="E134" s="1">
        <v>18.38</v>
      </c>
      <c r="F134" s="1">
        <v>28.88</v>
      </c>
      <c r="G134" s="1">
        <v>21.97</v>
      </c>
      <c r="H134" s="7" t="str">
        <f t="shared" si="3"/>
        <v>km/l</v>
      </c>
      <c r="I134" s="1" cm="1">
        <f t="array" ref="I134">_xlfn.IFS(D134="GASOLINA",24,D134="HIBRIDO",24,D134="ELÉCTRICO",5,D134="DIESEL",27)</f>
        <v>24</v>
      </c>
      <c r="J134" s="1">
        <v>127</v>
      </c>
      <c r="K134" s="1">
        <v>81</v>
      </c>
      <c r="L134" s="1">
        <v>106</v>
      </c>
      <c r="M134" t="s">
        <v>354</v>
      </c>
      <c r="N134" s="5" t="s">
        <v>10</v>
      </c>
    </row>
    <row r="135" spans="1:14">
      <c r="A135" s="4">
        <v>1133</v>
      </c>
      <c r="B135" s="5" t="s">
        <v>219</v>
      </c>
      <c r="C135" s="5" t="s">
        <v>157</v>
      </c>
      <c r="D135" s="5" t="s">
        <v>1</v>
      </c>
      <c r="E135" s="1">
        <v>19.14</v>
      </c>
      <c r="F135" s="1">
        <v>31.56</v>
      </c>
      <c r="G135" s="1">
        <v>23.26</v>
      </c>
      <c r="H135" s="7" t="str">
        <f t="shared" si="3"/>
        <v>km/l</v>
      </c>
      <c r="I135" s="1" cm="1">
        <f t="array" ref="I135">_xlfn.IFS(D135="GASOLINA",24,D135="HIBRIDO",24,D135="ELÉCTRICO",5,D135="DIESEL",27)</f>
        <v>24</v>
      </c>
      <c r="J135" s="1">
        <v>122</v>
      </c>
      <c r="K135" s="1">
        <v>74</v>
      </c>
      <c r="L135" s="1">
        <v>100</v>
      </c>
      <c r="M135" t="s">
        <v>354</v>
      </c>
      <c r="N135" s="5" t="s">
        <v>10</v>
      </c>
    </row>
    <row r="136" spans="1:14">
      <c r="A136" s="4">
        <v>1134</v>
      </c>
      <c r="B136" s="5" t="s">
        <v>219</v>
      </c>
      <c r="C136" s="5" t="s">
        <v>158</v>
      </c>
      <c r="D136" s="5" t="s">
        <v>1</v>
      </c>
      <c r="E136" s="1">
        <v>19.989999999999998</v>
      </c>
      <c r="F136" s="1">
        <v>29.57</v>
      </c>
      <c r="G136" s="1">
        <v>23.4</v>
      </c>
      <c r="H136" s="7" t="str">
        <f t="shared" si="3"/>
        <v>km/l</v>
      </c>
      <c r="I136" s="1" cm="1">
        <f t="array" ref="I136">_xlfn.IFS(D136="GASOLINA",24,D136="HIBRIDO",24,D136="ELÉCTRICO",5,D136="DIESEL",27)</f>
        <v>24</v>
      </c>
      <c r="J136" s="1">
        <v>117</v>
      </c>
      <c r="K136" s="1">
        <v>79</v>
      </c>
      <c r="L136" s="1">
        <v>100</v>
      </c>
      <c r="M136" t="s">
        <v>354</v>
      </c>
      <c r="N136" s="5" t="s">
        <v>2</v>
      </c>
    </row>
    <row r="137" spans="1:14">
      <c r="A137" s="4">
        <v>1135</v>
      </c>
      <c r="B137" s="5" t="s">
        <v>219</v>
      </c>
      <c r="C137" s="5" t="s">
        <v>159</v>
      </c>
      <c r="D137" s="5" t="s">
        <v>1</v>
      </c>
      <c r="E137" s="1">
        <v>12.62</v>
      </c>
      <c r="F137" s="1">
        <v>19.36</v>
      </c>
      <c r="G137" s="1">
        <v>14.97</v>
      </c>
      <c r="H137" s="7" t="str">
        <f t="shared" si="3"/>
        <v>km/l</v>
      </c>
      <c r="I137" s="1" cm="1">
        <f t="array" ref="I137">_xlfn.IFS(D137="GASOLINA",24,D137="HIBRIDO",24,D137="ELÉCTRICO",5,D137="DIESEL",27)</f>
        <v>24</v>
      </c>
      <c r="J137" s="1">
        <v>185</v>
      </c>
      <c r="K137" s="1">
        <v>121</v>
      </c>
      <c r="L137" s="1">
        <v>156</v>
      </c>
      <c r="M137" t="s">
        <v>34</v>
      </c>
      <c r="N137" s="5" t="s">
        <v>5</v>
      </c>
    </row>
    <row r="138" spans="1:14">
      <c r="A138" s="4">
        <v>1136</v>
      </c>
      <c r="B138" s="5" t="s">
        <v>219</v>
      </c>
      <c r="C138" s="5" t="s">
        <v>160</v>
      </c>
      <c r="D138" s="5" t="s">
        <v>1</v>
      </c>
      <c r="E138" s="1">
        <v>12.25</v>
      </c>
      <c r="F138" s="1">
        <v>18.62</v>
      </c>
      <c r="G138" s="1">
        <v>14.48</v>
      </c>
      <c r="H138" s="7" t="str">
        <f t="shared" si="3"/>
        <v>km/l</v>
      </c>
      <c r="I138" s="1" cm="1">
        <f t="array" ref="I138">_xlfn.IFS(D138="GASOLINA",24,D138="HIBRIDO",24,D138="ELÉCTRICO",5,D138="DIESEL",27)</f>
        <v>24</v>
      </c>
      <c r="J138" s="1">
        <v>191</v>
      </c>
      <c r="K138" s="1">
        <v>126</v>
      </c>
      <c r="L138" s="1">
        <v>162</v>
      </c>
      <c r="M138" t="s">
        <v>34</v>
      </c>
      <c r="N138" s="5" t="s">
        <v>5</v>
      </c>
    </row>
    <row r="139" spans="1:14">
      <c r="A139" s="4">
        <v>1137</v>
      </c>
      <c r="B139" s="5" t="s">
        <v>219</v>
      </c>
      <c r="C139" s="5" t="s">
        <v>161</v>
      </c>
      <c r="D139" s="5" t="s">
        <v>1</v>
      </c>
      <c r="E139" s="1">
        <v>12.25</v>
      </c>
      <c r="F139" s="1">
        <v>18.62</v>
      </c>
      <c r="G139" s="1">
        <v>14.48</v>
      </c>
      <c r="H139" s="7" t="str">
        <f t="shared" si="3"/>
        <v>km/l</v>
      </c>
      <c r="I139" s="1" cm="1">
        <f t="array" ref="I139">_xlfn.IFS(D139="GASOLINA",24,D139="HIBRIDO",24,D139="ELÉCTRICO",5,D139="DIESEL",27)</f>
        <v>24</v>
      </c>
      <c r="J139" s="1">
        <v>191</v>
      </c>
      <c r="K139" s="1">
        <v>126</v>
      </c>
      <c r="L139" s="1">
        <v>162</v>
      </c>
      <c r="M139" t="s">
        <v>34</v>
      </c>
      <c r="N139" s="5" t="s">
        <v>5</v>
      </c>
    </row>
    <row r="140" spans="1:14">
      <c r="A140" s="4">
        <v>1138</v>
      </c>
      <c r="B140" s="5" t="s">
        <v>219</v>
      </c>
      <c r="C140" s="5" t="s">
        <v>162</v>
      </c>
      <c r="D140" s="5" t="s">
        <v>1</v>
      </c>
      <c r="E140" s="1">
        <v>12.25</v>
      </c>
      <c r="F140" s="1">
        <v>18.62</v>
      </c>
      <c r="G140" s="1">
        <v>14.48</v>
      </c>
      <c r="H140" s="7" t="str">
        <f t="shared" si="3"/>
        <v>km/l</v>
      </c>
      <c r="I140" s="1" cm="1">
        <f t="array" ref="I140">_xlfn.IFS(D140="GASOLINA",24,D140="HIBRIDO",24,D140="ELÉCTRICO",5,D140="DIESEL",27)</f>
        <v>24</v>
      </c>
      <c r="J140" s="1">
        <v>191</v>
      </c>
      <c r="K140" s="1">
        <v>126</v>
      </c>
      <c r="L140" s="1">
        <v>162</v>
      </c>
      <c r="M140" t="s">
        <v>34</v>
      </c>
      <c r="N140" s="5" t="s">
        <v>5</v>
      </c>
    </row>
    <row r="141" spans="1:14">
      <c r="A141" s="4">
        <v>1139</v>
      </c>
      <c r="B141" s="5" t="s">
        <v>219</v>
      </c>
      <c r="C141" s="5" t="s">
        <v>220</v>
      </c>
      <c r="D141" s="5" t="s">
        <v>15</v>
      </c>
      <c r="E141" s="1">
        <v>9</v>
      </c>
      <c r="F141" s="1">
        <v>9</v>
      </c>
      <c r="G141" s="1">
        <v>9</v>
      </c>
      <c r="H141" s="7" t="str">
        <f t="shared" si="3"/>
        <v>km/kwh</v>
      </c>
      <c r="I141" s="1" cm="1">
        <f t="array" ref="I141">_xlfn.IFS(D141="GASOLINA",24,D141="HIBRIDO",24,D141="ELÉCTRICO",5,D141="DIESEL",27)</f>
        <v>5</v>
      </c>
      <c r="J141" s="1">
        <v>0</v>
      </c>
      <c r="K141" s="1">
        <v>0</v>
      </c>
      <c r="L141" s="1">
        <v>0</v>
      </c>
      <c r="M141" t="s">
        <v>89</v>
      </c>
      <c r="N141" s="5" t="s">
        <v>489</v>
      </c>
    </row>
    <row r="142" spans="1:14">
      <c r="A142" s="4">
        <v>1140</v>
      </c>
      <c r="B142" s="5" t="s">
        <v>219</v>
      </c>
      <c r="C142" s="5" t="s">
        <v>163</v>
      </c>
      <c r="D142" s="5" t="s">
        <v>1</v>
      </c>
      <c r="E142" s="1">
        <v>15.97</v>
      </c>
      <c r="F142" s="1">
        <v>23.02</v>
      </c>
      <c r="G142" s="1">
        <v>18.52</v>
      </c>
      <c r="H142" s="7" t="str">
        <f t="shared" si="3"/>
        <v>km/l</v>
      </c>
      <c r="I142" s="1" cm="1">
        <f t="array" ref="I142">_xlfn.IFS(D142="GASOLINA",24,D142="HIBRIDO",24,D142="ELÉCTRICO",5,D142="DIESEL",27)</f>
        <v>24</v>
      </c>
      <c r="J142" s="1">
        <v>147</v>
      </c>
      <c r="K142" s="1">
        <v>101</v>
      </c>
      <c r="L142" s="1">
        <v>126</v>
      </c>
      <c r="M142" t="s">
        <v>34</v>
      </c>
      <c r="N142" s="5" t="s">
        <v>2</v>
      </c>
    </row>
    <row r="143" spans="1:14">
      <c r="A143" s="4">
        <v>1141</v>
      </c>
      <c r="B143" s="5" t="s">
        <v>219</v>
      </c>
      <c r="C143" s="5" t="s">
        <v>164</v>
      </c>
      <c r="D143" s="5" t="s">
        <v>1</v>
      </c>
      <c r="E143" s="1">
        <v>13.95</v>
      </c>
      <c r="F143" s="1">
        <v>21.53</v>
      </c>
      <c r="G143" s="1">
        <v>16.579999999999998</v>
      </c>
      <c r="H143" s="7" t="str">
        <f t="shared" si="3"/>
        <v>km/l</v>
      </c>
      <c r="I143" s="1" cm="1">
        <f t="array" ref="I143">_xlfn.IFS(D143="GASOLINA",24,D143="HIBRIDO",24,D143="ELÉCTRICO",5,D143="DIESEL",27)</f>
        <v>24</v>
      </c>
      <c r="J143" s="1">
        <v>168</v>
      </c>
      <c r="K143" s="1">
        <v>109</v>
      </c>
      <c r="L143" s="1">
        <v>141</v>
      </c>
      <c r="M143" t="s">
        <v>34</v>
      </c>
      <c r="N143" s="5" t="s">
        <v>5</v>
      </c>
    </row>
    <row r="144" spans="1:14">
      <c r="A144" s="4">
        <v>1142</v>
      </c>
      <c r="B144" s="5" t="s">
        <v>219</v>
      </c>
      <c r="C144" s="5" t="s">
        <v>165</v>
      </c>
      <c r="D144" s="5" t="s">
        <v>1</v>
      </c>
      <c r="E144" s="1">
        <v>13.95</v>
      </c>
      <c r="F144" s="1">
        <v>21.53</v>
      </c>
      <c r="G144" s="1">
        <v>16.579999999999998</v>
      </c>
      <c r="H144" s="7" t="str">
        <f t="shared" si="3"/>
        <v>km/l</v>
      </c>
      <c r="I144" s="1" cm="1">
        <f t="array" ref="I144">_xlfn.IFS(D144="GASOLINA",24,D144="HIBRIDO",24,D144="ELÉCTRICO",5,D144="DIESEL",27)</f>
        <v>24</v>
      </c>
      <c r="J144" s="1">
        <v>168</v>
      </c>
      <c r="K144" s="1">
        <v>109</v>
      </c>
      <c r="L144" s="1">
        <v>141</v>
      </c>
      <c r="M144" t="s">
        <v>34</v>
      </c>
      <c r="N144" s="5" t="s">
        <v>5</v>
      </c>
    </row>
    <row r="145" spans="1:14">
      <c r="A145" s="4">
        <v>1143</v>
      </c>
      <c r="B145" s="5" t="s">
        <v>219</v>
      </c>
      <c r="C145" s="5" t="s">
        <v>166</v>
      </c>
      <c r="D145" s="5" t="s">
        <v>1</v>
      </c>
      <c r="E145" s="1">
        <v>10.56</v>
      </c>
      <c r="F145" s="1">
        <v>15.31</v>
      </c>
      <c r="G145" s="1">
        <v>12.28</v>
      </c>
      <c r="H145" s="7" t="str">
        <f t="shared" si="3"/>
        <v>km/l</v>
      </c>
      <c r="I145" s="1" cm="1">
        <f t="array" ref="I145">_xlfn.IFS(D145="GASOLINA",24,D145="HIBRIDO",24,D145="ELÉCTRICO",5,D145="DIESEL",27)</f>
        <v>24</v>
      </c>
      <c r="J145" s="1">
        <v>222</v>
      </c>
      <c r="K145" s="1">
        <v>153</v>
      </c>
      <c r="L145" s="1">
        <v>191</v>
      </c>
      <c r="M145" t="s">
        <v>34</v>
      </c>
      <c r="N145" s="5" t="s">
        <v>10</v>
      </c>
    </row>
    <row r="146" spans="1:14">
      <c r="A146" s="4">
        <v>1144</v>
      </c>
      <c r="B146" s="5" t="s">
        <v>219</v>
      </c>
      <c r="C146" s="5" t="s">
        <v>167</v>
      </c>
      <c r="D146" s="5" t="s">
        <v>1</v>
      </c>
      <c r="E146" s="1">
        <v>10.34</v>
      </c>
      <c r="F146" s="1">
        <v>15.03</v>
      </c>
      <c r="G146" s="1">
        <v>12.03</v>
      </c>
      <c r="H146" s="7" t="str">
        <f t="shared" si="3"/>
        <v>km/l</v>
      </c>
      <c r="I146" s="1" cm="1">
        <f t="array" ref="I146">_xlfn.IFS(D146="GASOLINA",24,D146="HIBRIDO",24,D146="ELÉCTRICO",5,D146="DIESEL",27)</f>
        <v>24</v>
      </c>
      <c r="J146" s="1">
        <v>227</v>
      </c>
      <c r="K146" s="1">
        <v>156</v>
      </c>
      <c r="L146" s="1">
        <v>195</v>
      </c>
      <c r="M146" t="s">
        <v>34</v>
      </c>
      <c r="N146" s="5" t="s">
        <v>2</v>
      </c>
    </row>
    <row r="147" spans="1:14">
      <c r="A147" s="4">
        <v>1145</v>
      </c>
      <c r="B147" s="5" t="s">
        <v>219</v>
      </c>
      <c r="C147" s="5" t="s">
        <v>168</v>
      </c>
      <c r="D147" s="5" t="s">
        <v>1</v>
      </c>
      <c r="E147" s="1">
        <v>10.26</v>
      </c>
      <c r="F147" s="1">
        <v>13.95</v>
      </c>
      <c r="G147" s="1">
        <v>11.65</v>
      </c>
      <c r="H147" s="7" t="str">
        <f t="shared" si="3"/>
        <v>km/l</v>
      </c>
      <c r="I147" s="1" cm="1">
        <f t="array" ref="I147">_xlfn.IFS(D147="GASOLINA",24,D147="HIBRIDO",24,D147="ELÉCTRICO",5,D147="DIESEL",27)</f>
        <v>24</v>
      </c>
      <c r="J147" s="1">
        <v>228</v>
      </c>
      <c r="K147" s="1">
        <v>168</v>
      </c>
      <c r="L147" s="1">
        <v>201</v>
      </c>
      <c r="M147" t="s">
        <v>34</v>
      </c>
      <c r="N147" s="5" t="s">
        <v>2</v>
      </c>
    </row>
    <row r="148" spans="1:14">
      <c r="A148" s="4">
        <v>1146</v>
      </c>
      <c r="B148" s="5" t="s">
        <v>219</v>
      </c>
      <c r="C148" s="5" t="s">
        <v>169</v>
      </c>
      <c r="D148" s="5" t="s">
        <v>1</v>
      </c>
      <c r="E148" s="1">
        <v>10.34</v>
      </c>
      <c r="F148" s="1">
        <v>15.03</v>
      </c>
      <c r="G148" s="1">
        <v>12.03</v>
      </c>
      <c r="H148" s="7" t="str">
        <f t="shared" si="3"/>
        <v>km/l</v>
      </c>
      <c r="I148" s="1" cm="1">
        <f t="array" ref="I148">_xlfn.IFS(D148="GASOLINA",24,D148="HIBRIDO",24,D148="ELÉCTRICO",5,D148="DIESEL",27)</f>
        <v>24</v>
      </c>
      <c r="J148" s="1">
        <v>227</v>
      </c>
      <c r="K148" s="1">
        <v>156</v>
      </c>
      <c r="L148" s="1">
        <v>195</v>
      </c>
      <c r="M148" t="s">
        <v>34</v>
      </c>
      <c r="N148" s="5" t="s">
        <v>2</v>
      </c>
    </row>
    <row r="149" spans="1:14">
      <c r="A149" s="4">
        <v>1147</v>
      </c>
      <c r="B149" s="5" t="s">
        <v>219</v>
      </c>
      <c r="C149" s="5" t="s">
        <v>170</v>
      </c>
      <c r="D149" s="5" t="s">
        <v>1</v>
      </c>
      <c r="E149" s="1">
        <v>14.86</v>
      </c>
      <c r="F149" s="1">
        <v>24.32</v>
      </c>
      <c r="G149" s="1">
        <v>18.010000000000002</v>
      </c>
      <c r="H149" s="7" t="str">
        <f t="shared" si="3"/>
        <v>km/l</v>
      </c>
      <c r="I149" s="1" cm="1">
        <f t="array" ref="I149">_xlfn.IFS(D149="GASOLINA",24,D149="HIBRIDO",24,D149="ELÉCTRICO",5,D149="DIESEL",27)</f>
        <v>24</v>
      </c>
      <c r="J149" s="1">
        <v>157</v>
      </c>
      <c r="K149" s="1">
        <v>96</v>
      </c>
      <c r="L149" s="1">
        <v>130</v>
      </c>
      <c r="M149" t="s">
        <v>34</v>
      </c>
      <c r="N149" s="5" t="s">
        <v>5</v>
      </c>
    </row>
    <row r="150" spans="1:14">
      <c r="A150" s="4">
        <v>1148</v>
      </c>
      <c r="B150" s="5" t="s">
        <v>219</v>
      </c>
      <c r="C150" s="5" t="s">
        <v>171</v>
      </c>
      <c r="D150" s="5" t="s">
        <v>1</v>
      </c>
      <c r="E150" s="1">
        <v>16.940000000000001</v>
      </c>
      <c r="F150" s="1">
        <v>27.34</v>
      </c>
      <c r="G150" s="1">
        <v>20.440000000000001</v>
      </c>
      <c r="H150" s="7" t="str">
        <f t="shared" si="3"/>
        <v>km/l</v>
      </c>
      <c r="I150" s="1" cm="1">
        <f t="array" ref="I150">_xlfn.IFS(D150="GASOLINA",24,D150="HIBRIDO",24,D150="ELÉCTRICO",5,D150="DIESEL",27)</f>
        <v>24</v>
      </c>
      <c r="J150" s="1">
        <v>138</v>
      </c>
      <c r="K150" s="1">
        <v>85</v>
      </c>
      <c r="L150" s="1">
        <v>114</v>
      </c>
      <c r="M150" t="s">
        <v>34</v>
      </c>
      <c r="N150" s="5" t="s">
        <v>2</v>
      </c>
    </row>
    <row r="151" spans="1:14">
      <c r="A151" s="4">
        <v>1149</v>
      </c>
      <c r="B151" s="5" t="s">
        <v>219</v>
      </c>
      <c r="C151" s="5" t="s">
        <v>172</v>
      </c>
      <c r="D151" s="5" t="s">
        <v>1</v>
      </c>
      <c r="E151" s="1">
        <v>16.940000000000001</v>
      </c>
      <c r="F151" s="1">
        <v>27.34</v>
      </c>
      <c r="G151" s="1">
        <v>20.440000000000001</v>
      </c>
      <c r="H151" s="7" t="str">
        <f t="shared" si="3"/>
        <v>km/l</v>
      </c>
      <c r="I151" s="1" cm="1">
        <f t="array" ref="I151">_xlfn.IFS(D151="GASOLINA",24,D151="HIBRIDO",24,D151="ELÉCTRICO",5,D151="DIESEL",27)</f>
        <v>24</v>
      </c>
      <c r="J151" s="1">
        <v>138</v>
      </c>
      <c r="K151" s="1">
        <v>85</v>
      </c>
      <c r="L151" s="1">
        <v>114</v>
      </c>
      <c r="M151" t="s">
        <v>34</v>
      </c>
      <c r="N151" s="5" t="s">
        <v>2</v>
      </c>
    </row>
    <row r="152" spans="1:14">
      <c r="A152" s="4">
        <v>1150</v>
      </c>
      <c r="B152" s="5" t="s">
        <v>219</v>
      </c>
      <c r="C152" s="5" t="s">
        <v>173</v>
      </c>
      <c r="D152" s="5" t="s">
        <v>1</v>
      </c>
      <c r="E152" s="1">
        <v>15.03</v>
      </c>
      <c r="F152" s="1">
        <v>24.53</v>
      </c>
      <c r="G152" s="1">
        <v>18.2</v>
      </c>
      <c r="H152" s="7" t="str">
        <f t="shared" si="3"/>
        <v>km/l</v>
      </c>
      <c r="I152" s="1" cm="1">
        <f t="array" ref="I152">_xlfn.IFS(D152="GASOLINA",24,D152="HIBRIDO",24,D152="ELÉCTRICO",5,D152="DIESEL",27)</f>
        <v>24</v>
      </c>
      <c r="J152" s="1">
        <v>156</v>
      </c>
      <c r="K152" s="1">
        <v>95</v>
      </c>
      <c r="L152" s="1">
        <v>128</v>
      </c>
      <c r="M152" t="s">
        <v>34</v>
      </c>
      <c r="N152" s="5" t="s">
        <v>5</v>
      </c>
    </row>
    <row r="153" spans="1:14">
      <c r="A153" s="4">
        <v>1151</v>
      </c>
      <c r="B153" s="5" t="s">
        <v>219</v>
      </c>
      <c r="C153" s="5" t="s">
        <v>174</v>
      </c>
      <c r="D153" s="5" t="s">
        <v>1</v>
      </c>
      <c r="E153" s="1">
        <v>17.22</v>
      </c>
      <c r="F153" s="1">
        <v>26.48</v>
      </c>
      <c r="G153" s="1">
        <v>20.43</v>
      </c>
      <c r="H153" s="7" t="str">
        <f t="shared" ref="H153:H188" si="4">IF(D153="ELÉCTRICO","km/kwh",IF(OR(D153="GASOLINA",D153="HIBRIDO",D153="DIESEL"),"km/l","N/D"))</f>
        <v>km/l</v>
      </c>
      <c r="I153" s="1" cm="1">
        <f t="array" ref="I153">_xlfn.IFS(D153="GASOLINA",24,D153="HIBRIDO",24,D153="ELÉCTRICO",5,D153="DIESEL",27)</f>
        <v>24</v>
      </c>
      <c r="J153" s="1">
        <v>136</v>
      </c>
      <c r="K153" s="1">
        <v>88</v>
      </c>
      <c r="L153" s="1">
        <v>114</v>
      </c>
      <c r="M153" t="s">
        <v>34</v>
      </c>
      <c r="N153" s="5" t="s">
        <v>2</v>
      </c>
    </row>
    <row r="154" spans="1:14">
      <c r="A154" s="4">
        <v>1152</v>
      </c>
      <c r="B154" s="5" t="s">
        <v>219</v>
      </c>
      <c r="C154" s="5" t="s">
        <v>175</v>
      </c>
      <c r="D154" s="5" t="s">
        <v>1</v>
      </c>
      <c r="E154" s="1">
        <v>17.22</v>
      </c>
      <c r="F154" s="1">
        <v>26.48</v>
      </c>
      <c r="G154" s="1">
        <v>20.43</v>
      </c>
      <c r="H154" s="7" t="str">
        <f t="shared" si="4"/>
        <v>km/l</v>
      </c>
      <c r="I154" s="1" cm="1">
        <f t="array" ref="I154">_xlfn.IFS(D154="GASOLINA",24,D154="HIBRIDO",24,D154="ELÉCTRICO",5,D154="DIESEL",27)</f>
        <v>24</v>
      </c>
      <c r="J154" s="1">
        <v>136</v>
      </c>
      <c r="K154" s="1">
        <v>88</v>
      </c>
      <c r="L154" s="1">
        <v>114</v>
      </c>
      <c r="M154" t="s">
        <v>34</v>
      </c>
      <c r="N154" s="5" t="s">
        <v>2</v>
      </c>
    </row>
    <row r="155" spans="1:14">
      <c r="A155" s="4">
        <v>1153</v>
      </c>
      <c r="B155" s="5" t="s">
        <v>219</v>
      </c>
      <c r="C155" s="5" t="s">
        <v>176</v>
      </c>
      <c r="D155" s="5" t="s">
        <v>1</v>
      </c>
      <c r="E155" s="1">
        <v>17.22</v>
      </c>
      <c r="F155" s="1">
        <v>26.48</v>
      </c>
      <c r="G155" s="1">
        <v>20.43</v>
      </c>
      <c r="H155" s="7" t="str">
        <f t="shared" si="4"/>
        <v>km/l</v>
      </c>
      <c r="I155" s="1" cm="1">
        <f t="array" ref="I155">_xlfn.IFS(D155="GASOLINA",24,D155="HIBRIDO",24,D155="ELÉCTRICO",5,D155="DIESEL",27)</f>
        <v>24</v>
      </c>
      <c r="J155" s="1">
        <v>136</v>
      </c>
      <c r="K155" s="1">
        <v>88</v>
      </c>
      <c r="L155" s="1">
        <v>114</v>
      </c>
      <c r="M155" t="s">
        <v>34</v>
      </c>
      <c r="N155" s="5" t="s">
        <v>2</v>
      </c>
    </row>
    <row r="156" spans="1:14">
      <c r="A156" s="4">
        <v>1154</v>
      </c>
      <c r="B156" s="5" t="s">
        <v>219</v>
      </c>
      <c r="C156" s="5" t="s">
        <v>177</v>
      </c>
      <c r="D156" s="5" t="s">
        <v>1</v>
      </c>
      <c r="E156" s="1">
        <v>10.8155</v>
      </c>
      <c r="F156" s="1">
        <v>16.1981</v>
      </c>
      <c r="G156" s="1">
        <v>12.717114</v>
      </c>
      <c r="H156" s="7" t="str">
        <f t="shared" si="4"/>
        <v>km/l</v>
      </c>
      <c r="I156" s="1" cm="1">
        <f t="array" ref="I156">_xlfn.IFS(D156="GASOLINA",24,D156="HIBRIDO",24,D156="ELÉCTRICO",5,D156="DIESEL",27)</f>
        <v>24</v>
      </c>
      <c r="J156" s="1">
        <v>217</v>
      </c>
      <c r="K156" s="1">
        <v>144</v>
      </c>
      <c r="L156" s="1">
        <v>184</v>
      </c>
      <c r="M156" t="s">
        <v>34</v>
      </c>
      <c r="N156" s="5" t="s">
        <v>10</v>
      </c>
    </row>
    <row r="157" spans="1:14">
      <c r="A157" s="4">
        <v>1155</v>
      </c>
      <c r="B157" s="5" t="s">
        <v>219</v>
      </c>
      <c r="C157" s="5" t="s">
        <v>178</v>
      </c>
      <c r="D157" s="5" t="s">
        <v>1</v>
      </c>
      <c r="E157" s="1">
        <v>15.7073</v>
      </c>
      <c r="F157" s="1">
        <v>20.413599999999999</v>
      </c>
      <c r="G157" s="1">
        <v>17.525486999999998</v>
      </c>
      <c r="H157" s="7" t="str">
        <f t="shared" si="4"/>
        <v>km/l</v>
      </c>
      <c r="I157" s="1" cm="1">
        <f t="array" ref="I157">_xlfn.IFS(D157="GASOLINA",24,D157="HIBRIDO",24,D157="ELÉCTRICO",5,D157="DIESEL",27)</f>
        <v>24</v>
      </c>
      <c r="J157" s="1">
        <v>149</v>
      </c>
      <c r="K157" s="1">
        <v>115</v>
      </c>
      <c r="L157" s="1">
        <v>133</v>
      </c>
      <c r="M157" t="s">
        <v>354</v>
      </c>
      <c r="N157" s="5" t="s">
        <v>10</v>
      </c>
    </row>
    <row r="158" spans="1:14">
      <c r="A158" s="4">
        <v>1156</v>
      </c>
      <c r="B158" s="5" t="s">
        <v>219</v>
      </c>
      <c r="C158" s="5" t="s">
        <v>179</v>
      </c>
      <c r="D158" s="5" t="s">
        <v>1</v>
      </c>
      <c r="E158" s="1">
        <v>16.1479</v>
      </c>
      <c r="F158" s="1">
        <v>25.403400000000001</v>
      </c>
      <c r="G158" s="1">
        <v>19.314584</v>
      </c>
      <c r="H158" s="7" t="str">
        <f t="shared" si="4"/>
        <v>km/l</v>
      </c>
      <c r="I158" s="1" cm="1">
        <f t="array" ref="I158">_xlfn.IFS(D158="GASOLINA",24,D158="HIBRIDO",24,D158="ELÉCTRICO",5,D158="DIESEL",27)</f>
        <v>24</v>
      </c>
      <c r="J158" s="1">
        <v>145</v>
      </c>
      <c r="K158" s="1">
        <v>92</v>
      </c>
      <c r="L158" s="1">
        <v>121</v>
      </c>
      <c r="M158" t="s">
        <v>354</v>
      </c>
      <c r="N158" s="5" t="s">
        <v>10</v>
      </c>
    </row>
    <row r="159" spans="1:14">
      <c r="A159" s="4">
        <v>1157</v>
      </c>
      <c r="B159" s="5" t="s">
        <v>219</v>
      </c>
      <c r="C159" s="5" t="s">
        <v>180</v>
      </c>
      <c r="D159" s="5" t="s">
        <v>1</v>
      </c>
      <c r="E159" s="1">
        <v>15.502700000000001</v>
      </c>
      <c r="F159" s="1">
        <v>24.626899999999999</v>
      </c>
      <c r="G159" s="1">
        <v>18.604488</v>
      </c>
      <c r="H159" s="7" t="str">
        <f t="shared" si="4"/>
        <v>km/l</v>
      </c>
      <c r="I159" s="1" cm="1">
        <f t="array" ref="I159">_xlfn.IFS(D159="GASOLINA",24,D159="HIBRIDO",24,D159="ELÉCTRICO",5,D159="DIESEL",27)</f>
        <v>24</v>
      </c>
      <c r="J159" s="1">
        <v>151</v>
      </c>
      <c r="K159" s="1">
        <v>95</v>
      </c>
      <c r="L159" s="1">
        <v>126</v>
      </c>
      <c r="M159" t="s">
        <v>354</v>
      </c>
      <c r="N159" s="5" t="s">
        <v>10</v>
      </c>
    </row>
    <row r="160" spans="1:14">
      <c r="A160" s="4">
        <v>1158</v>
      </c>
      <c r="B160" s="5" t="s">
        <v>219</v>
      </c>
      <c r="C160" s="5" t="s">
        <v>181</v>
      </c>
      <c r="D160" s="5" t="s">
        <v>1</v>
      </c>
      <c r="E160" s="1">
        <v>8.7381700000000002</v>
      </c>
      <c r="F160" s="1">
        <v>13.5801</v>
      </c>
      <c r="G160" s="1">
        <v>10.408105000000001</v>
      </c>
      <c r="H160" s="7" t="str">
        <f t="shared" si="4"/>
        <v>km/l</v>
      </c>
      <c r="I160" s="1" cm="1">
        <f t="array" ref="I160">_xlfn.IFS(D160="GASOLINA",24,D160="HIBRIDO",24,D160="ELÉCTRICO",5,D160="DIESEL",27)</f>
        <v>24</v>
      </c>
      <c r="J160" s="1">
        <v>268</v>
      </c>
      <c r="K160" s="1">
        <v>172</v>
      </c>
      <c r="L160" s="1">
        <v>225</v>
      </c>
      <c r="M160" t="s">
        <v>230</v>
      </c>
      <c r="N160" s="5" t="s">
        <v>10</v>
      </c>
    </row>
    <row r="161" spans="1:14">
      <c r="A161" s="4">
        <v>1159</v>
      </c>
      <c r="B161" s="5" t="s">
        <v>219</v>
      </c>
      <c r="C161" s="5" t="s">
        <v>182</v>
      </c>
      <c r="D161" s="5" t="s">
        <v>1</v>
      </c>
      <c r="E161" s="1">
        <v>8.5625300000000006</v>
      </c>
      <c r="F161" s="1">
        <v>12.6371</v>
      </c>
      <c r="G161" s="1">
        <v>10.015741</v>
      </c>
      <c r="H161" s="7" t="str">
        <f t="shared" si="4"/>
        <v>km/l</v>
      </c>
      <c r="I161" s="1" cm="1">
        <f t="array" ref="I161">_xlfn.IFS(D161="GASOLINA",24,D161="HIBRIDO",24,D161="ELÉCTRICO",5,D161="DIESEL",27)</f>
        <v>24</v>
      </c>
      <c r="J161" s="1">
        <v>274</v>
      </c>
      <c r="K161" s="1">
        <v>185</v>
      </c>
      <c r="L161" s="1">
        <v>234</v>
      </c>
      <c r="M161" t="s">
        <v>230</v>
      </c>
      <c r="N161" s="5" t="s">
        <v>10</v>
      </c>
    </row>
    <row r="162" spans="1:14">
      <c r="A162" s="4">
        <v>1160</v>
      </c>
      <c r="B162" s="5" t="s">
        <v>219</v>
      </c>
      <c r="C162" s="5" t="s">
        <v>181</v>
      </c>
      <c r="D162" s="5" t="s">
        <v>1</v>
      </c>
      <c r="E162" s="1">
        <v>8.7381700000000002</v>
      </c>
      <c r="F162" s="1">
        <v>13.5801</v>
      </c>
      <c r="G162" s="1">
        <v>10.408105000000001</v>
      </c>
      <c r="H162" s="7" t="str">
        <f t="shared" si="4"/>
        <v>km/l</v>
      </c>
      <c r="I162" s="1" cm="1">
        <f t="array" ref="I162">_xlfn.IFS(D162="GASOLINA",24,D162="HIBRIDO",24,D162="ELÉCTRICO",5,D162="DIESEL",27)</f>
        <v>24</v>
      </c>
      <c r="J162" s="1">
        <v>268</v>
      </c>
      <c r="K162" s="1">
        <v>172</v>
      </c>
      <c r="L162" s="1">
        <v>225</v>
      </c>
      <c r="M162" t="s">
        <v>230</v>
      </c>
      <c r="N162" s="5" t="s">
        <v>10</v>
      </c>
    </row>
    <row r="163" spans="1:14">
      <c r="A163" s="4">
        <v>1161</v>
      </c>
      <c r="B163" s="5" t="s">
        <v>219</v>
      </c>
      <c r="C163" s="5" t="s">
        <v>182</v>
      </c>
      <c r="D163" s="5" t="s">
        <v>1</v>
      </c>
      <c r="E163" s="1">
        <v>8.5625300000000006</v>
      </c>
      <c r="F163" s="1">
        <v>12.6371</v>
      </c>
      <c r="G163" s="1">
        <v>10.015741</v>
      </c>
      <c r="H163" s="7" t="str">
        <f t="shared" si="4"/>
        <v>km/l</v>
      </c>
      <c r="I163" s="1" cm="1">
        <f t="array" ref="I163">_xlfn.IFS(D163="GASOLINA",24,D163="HIBRIDO",24,D163="ELÉCTRICO",5,D163="DIESEL",27)</f>
        <v>24</v>
      </c>
      <c r="J163" s="1">
        <v>274</v>
      </c>
      <c r="K163" s="1">
        <v>185</v>
      </c>
      <c r="L163" s="1">
        <v>234</v>
      </c>
      <c r="M163" t="s">
        <v>230</v>
      </c>
      <c r="N163" s="5" t="s">
        <v>10</v>
      </c>
    </row>
    <row r="164" spans="1:14">
      <c r="A164" s="4">
        <v>1162</v>
      </c>
      <c r="B164" s="5" t="s">
        <v>219</v>
      </c>
      <c r="C164" s="5" t="s">
        <v>183</v>
      </c>
      <c r="D164" s="5" t="s">
        <v>1</v>
      </c>
      <c r="E164" s="1">
        <v>8.5625300000000006</v>
      </c>
      <c r="F164" s="1">
        <v>12.6371</v>
      </c>
      <c r="G164" s="1">
        <v>10.015741</v>
      </c>
      <c r="H164" s="7" t="str">
        <f t="shared" si="4"/>
        <v>km/l</v>
      </c>
      <c r="I164" s="1" cm="1">
        <f t="array" ref="I164">_xlfn.IFS(D164="GASOLINA",24,D164="HIBRIDO",24,D164="ELÉCTRICO",5,D164="DIESEL",27)</f>
        <v>24</v>
      </c>
      <c r="J164" s="1">
        <v>274</v>
      </c>
      <c r="K164" s="1">
        <v>185</v>
      </c>
      <c r="L164" s="1">
        <v>234</v>
      </c>
      <c r="M164" t="s">
        <v>230</v>
      </c>
      <c r="N164" s="5" t="s">
        <v>10</v>
      </c>
    </row>
    <row r="165" spans="1:14">
      <c r="A165" s="4">
        <v>1163</v>
      </c>
      <c r="B165" s="5" t="s">
        <v>219</v>
      </c>
      <c r="C165" s="5" t="s">
        <v>184</v>
      </c>
      <c r="D165" s="5" t="s">
        <v>1</v>
      </c>
      <c r="E165" s="1">
        <v>15.7073</v>
      </c>
      <c r="F165" s="1">
        <v>20.413599999999999</v>
      </c>
      <c r="G165" s="1">
        <v>17.525486999999998</v>
      </c>
      <c r="H165" s="7" t="str">
        <f t="shared" si="4"/>
        <v>km/l</v>
      </c>
      <c r="I165" s="1" cm="1">
        <f t="array" ref="I165">_xlfn.IFS(D165="GASOLINA",24,D165="HIBRIDO",24,D165="ELÉCTRICO",5,D165="DIESEL",27)</f>
        <v>24</v>
      </c>
      <c r="J165" s="1">
        <v>149</v>
      </c>
      <c r="K165" s="1">
        <v>115</v>
      </c>
      <c r="L165" s="1">
        <v>133</v>
      </c>
      <c r="M165" t="s">
        <v>354</v>
      </c>
      <c r="N165" s="5" t="s">
        <v>10</v>
      </c>
    </row>
    <row r="166" spans="1:14">
      <c r="A166" s="4">
        <v>1164</v>
      </c>
      <c r="B166" s="5" t="s">
        <v>219</v>
      </c>
      <c r="C166" s="5" t="s">
        <v>185</v>
      </c>
      <c r="D166" s="5" t="s">
        <v>1</v>
      </c>
      <c r="E166" s="1">
        <v>15.7073</v>
      </c>
      <c r="F166" s="1">
        <v>20.413599999999999</v>
      </c>
      <c r="G166" s="1">
        <v>17.525486999999998</v>
      </c>
      <c r="H166" s="7" t="str">
        <f t="shared" si="4"/>
        <v>km/l</v>
      </c>
      <c r="I166" s="1" cm="1">
        <f t="array" ref="I166">_xlfn.IFS(D166="GASOLINA",24,D166="HIBRIDO",24,D166="ELÉCTRICO",5,D166="DIESEL",27)</f>
        <v>24</v>
      </c>
      <c r="J166" s="1">
        <v>149</v>
      </c>
      <c r="K166" s="1">
        <v>115</v>
      </c>
      <c r="L166" s="1">
        <v>133</v>
      </c>
      <c r="M166" t="s">
        <v>354</v>
      </c>
      <c r="N166" s="5" t="s">
        <v>10</v>
      </c>
    </row>
    <row r="167" spans="1:14">
      <c r="A167" s="4">
        <v>1165</v>
      </c>
      <c r="B167" s="5" t="s">
        <v>219</v>
      </c>
      <c r="C167" s="5" t="s">
        <v>186</v>
      </c>
      <c r="D167" s="5" t="s">
        <v>1</v>
      </c>
      <c r="E167" s="1">
        <v>15.858599999999999</v>
      </c>
      <c r="F167" s="1">
        <v>21.9801</v>
      </c>
      <c r="G167" s="1">
        <v>18.130849000000001</v>
      </c>
      <c r="H167" s="7" t="str">
        <f t="shared" si="4"/>
        <v>km/l</v>
      </c>
      <c r="I167" s="1" cm="1">
        <f t="array" ref="I167">_xlfn.IFS(D167="GASOLINA",24,D167="HIBRIDO",24,D167="ELÉCTRICO",5,D167="DIESEL",27)</f>
        <v>24</v>
      </c>
      <c r="J167" s="1">
        <v>148</v>
      </c>
      <c r="K167" s="1">
        <v>106</v>
      </c>
      <c r="L167" s="1">
        <v>129</v>
      </c>
      <c r="M167" t="s">
        <v>34</v>
      </c>
      <c r="N167" s="5" t="s">
        <v>2</v>
      </c>
    </row>
    <row r="168" spans="1:14">
      <c r="A168" s="4">
        <v>1166</v>
      </c>
      <c r="B168" s="5" t="s">
        <v>219</v>
      </c>
      <c r="C168" s="5" t="s">
        <v>187</v>
      </c>
      <c r="D168" s="5" t="s">
        <v>1</v>
      </c>
      <c r="E168" s="1">
        <v>9.4233499999999992</v>
      </c>
      <c r="F168" s="1">
        <v>14.238899999999999</v>
      </c>
      <c r="G168" s="1">
        <v>11.114922</v>
      </c>
      <c r="H168" s="7" t="str">
        <f t="shared" si="4"/>
        <v>km/l</v>
      </c>
      <c r="I168" s="1" cm="1">
        <f t="array" ref="I168">_xlfn.IFS(D168="GASOLINA",24,D168="HIBRIDO",24,D168="ELÉCTRICO",5,D168="DIESEL",27)</f>
        <v>24</v>
      </c>
      <c r="J168" s="1">
        <v>249</v>
      </c>
      <c r="K168" s="1">
        <v>164</v>
      </c>
      <c r="L168" s="1">
        <v>211</v>
      </c>
      <c r="M168" t="s">
        <v>34</v>
      </c>
      <c r="N168" s="5" t="s">
        <v>10</v>
      </c>
    </row>
    <row r="169" spans="1:14">
      <c r="A169" s="4">
        <v>1167</v>
      </c>
      <c r="B169" s="5" t="s">
        <v>219</v>
      </c>
      <c r="C169" s="5" t="s">
        <v>188</v>
      </c>
      <c r="D169" s="5" t="s">
        <v>1</v>
      </c>
      <c r="E169" s="1">
        <v>8.9119600000000005</v>
      </c>
      <c r="F169" s="1">
        <v>12.0001</v>
      </c>
      <c r="G169" s="1">
        <v>10.079159000000001</v>
      </c>
      <c r="H169" s="7" t="str">
        <f t="shared" si="4"/>
        <v>km/l</v>
      </c>
      <c r="I169" s="1" cm="1">
        <f t="array" ref="I169">_xlfn.IFS(D169="GASOLINA",24,D169="HIBRIDO",24,D169="ELÉCTRICO",5,D169="DIESEL",27)</f>
        <v>24</v>
      </c>
      <c r="J169" s="1">
        <v>263</v>
      </c>
      <c r="K169" s="1">
        <v>195</v>
      </c>
      <c r="L169" s="1">
        <v>232</v>
      </c>
      <c r="M169" t="s">
        <v>34</v>
      </c>
      <c r="N169" s="5" t="s">
        <v>10</v>
      </c>
    </row>
    <row r="170" spans="1:14">
      <c r="A170" s="4">
        <v>1168</v>
      </c>
      <c r="B170" s="5" t="s">
        <v>219</v>
      </c>
      <c r="C170" s="5" t="s">
        <v>189</v>
      </c>
      <c r="D170" s="5" t="s">
        <v>15</v>
      </c>
      <c r="E170" s="1">
        <v>3.6</v>
      </c>
      <c r="F170" s="1">
        <v>3.6</v>
      </c>
      <c r="G170" s="1">
        <v>3.6</v>
      </c>
      <c r="H170" s="7" t="str">
        <f t="shared" si="4"/>
        <v>km/kwh</v>
      </c>
      <c r="I170" s="1" cm="1">
        <f t="array" ref="I170">_xlfn.IFS(D170="GASOLINA",24,D170="HIBRIDO",24,D170="ELÉCTRICO",5,D170="DIESEL",27)</f>
        <v>5</v>
      </c>
      <c r="J170" s="1">
        <v>0</v>
      </c>
      <c r="K170" s="1">
        <v>0</v>
      </c>
      <c r="L170" s="1">
        <v>0</v>
      </c>
      <c r="M170" t="s">
        <v>89</v>
      </c>
      <c r="N170" s="5" t="s">
        <v>489</v>
      </c>
    </row>
    <row r="171" spans="1:14">
      <c r="A171" s="4">
        <v>1169</v>
      </c>
      <c r="B171" s="5" t="s">
        <v>219</v>
      </c>
      <c r="C171" s="5" t="s">
        <v>190</v>
      </c>
      <c r="D171" s="5" t="s">
        <v>15</v>
      </c>
      <c r="E171" s="1">
        <v>3.4</v>
      </c>
      <c r="F171" s="1">
        <v>3.4</v>
      </c>
      <c r="G171" s="1">
        <v>3.4</v>
      </c>
      <c r="H171" s="7" t="str">
        <f t="shared" si="4"/>
        <v>km/kwh</v>
      </c>
      <c r="I171" s="1" cm="1">
        <f t="array" ref="I171">_xlfn.IFS(D171="GASOLINA",24,D171="HIBRIDO",24,D171="ELÉCTRICO",5,D171="DIESEL",27)</f>
        <v>5</v>
      </c>
      <c r="J171" s="1">
        <v>0</v>
      </c>
      <c r="K171" s="1">
        <v>0</v>
      </c>
      <c r="L171" s="1">
        <v>0</v>
      </c>
      <c r="M171" t="s">
        <v>89</v>
      </c>
      <c r="N171" s="5" t="s">
        <v>489</v>
      </c>
    </row>
    <row r="172" spans="1:14">
      <c r="A172" s="4">
        <v>1170</v>
      </c>
      <c r="B172" s="5" t="s">
        <v>219</v>
      </c>
      <c r="C172" s="5" t="s">
        <v>191</v>
      </c>
      <c r="D172" s="5" t="s">
        <v>1</v>
      </c>
      <c r="E172" s="1">
        <v>7.67842</v>
      </c>
      <c r="F172" s="1">
        <v>12.082100000000001</v>
      </c>
      <c r="G172" s="1">
        <v>9.1848924000000007</v>
      </c>
      <c r="H172" s="7" t="str">
        <f t="shared" si="4"/>
        <v>km/l</v>
      </c>
      <c r="I172" s="1" cm="1">
        <f t="array" ref="I172">_xlfn.IFS(D172="GASOLINA",24,D172="HIBRIDO",24,D172="ELÉCTRICO",5,D172="DIESEL",27)</f>
        <v>24</v>
      </c>
      <c r="J172" s="1">
        <v>305</v>
      </c>
      <c r="K172" s="1">
        <v>194</v>
      </c>
      <c r="L172" s="1">
        <v>255</v>
      </c>
      <c r="M172" t="s">
        <v>230</v>
      </c>
      <c r="N172" s="5" t="s">
        <v>10</v>
      </c>
    </row>
    <row r="173" spans="1:14">
      <c r="A173" s="4">
        <v>1171</v>
      </c>
      <c r="B173" s="5" t="s">
        <v>219</v>
      </c>
      <c r="C173" s="5" t="s">
        <v>192</v>
      </c>
      <c r="D173" s="5" t="s">
        <v>1</v>
      </c>
      <c r="E173" s="1">
        <v>7.67842</v>
      </c>
      <c r="F173" s="1">
        <v>12.082100000000001</v>
      </c>
      <c r="G173" s="1">
        <v>9.1848924000000007</v>
      </c>
      <c r="H173" s="7" t="str">
        <f t="shared" si="4"/>
        <v>km/l</v>
      </c>
      <c r="I173" s="1" cm="1">
        <f t="array" ref="I173">_xlfn.IFS(D173="GASOLINA",24,D173="HIBRIDO",24,D173="ELÉCTRICO",5,D173="DIESEL",27)</f>
        <v>24</v>
      </c>
      <c r="J173" s="1">
        <v>305</v>
      </c>
      <c r="K173" s="1">
        <v>194</v>
      </c>
      <c r="L173" s="1">
        <v>255</v>
      </c>
      <c r="M173" t="s">
        <v>230</v>
      </c>
      <c r="N173" s="5" t="s">
        <v>10</v>
      </c>
    </row>
    <row r="174" spans="1:14">
      <c r="A174" s="4">
        <v>1172</v>
      </c>
      <c r="B174" s="5" t="s">
        <v>219</v>
      </c>
      <c r="C174" s="5" t="s">
        <v>193</v>
      </c>
      <c r="D174" s="5" t="s">
        <v>1</v>
      </c>
      <c r="E174" s="1">
        <v>8.5625300000000006</v>
      </c>
      <c r="F174" s="1">
        <v>12.6371</v>
      </c>
      <c r="G174" s="1">
        <v>10.015741</v>
      </c>
      <c r="H174" s="7" t="str">
        <f t="shared" si="4"/>
        <v>km/l</v>
      </c>
      <c r="I174" s="1" cm="1">
        <f t="array" ref="I174">_xlfn.IFS(D174="GASOLINA",24,D174="HIBRIDO",24,D174="ELÉCTRICO",5,D174="DIESEL",27)</f>
        <v>24</v>
      </c>
      <c r="J174" s="1">
        <v>274</v>
      </c>
      <c r="K174" s="1">
        <v>185</v>
      </c>
      <c r="L174" s="1">
        <v>234</v>
      </c>
      <c r="M174" t="s">
        <v>230</v>
      </c>
      <c r="N174" s="5" t="s">
        <v>10</v>
      </c>
    </row>
    <row r="175" spans="1:14">
      <c r="A175" s="4">
        <v>1173</v>
      </c>
      <c r="B175" s="5" t="s">
        <v>219</v>
      </c>
      <c r="C175" s="5" t="s">
        <v>194</v>
      </c>
      <c r="D175" s="5" t="s">
        <v>1</v>
      </c>
      <c r="E175" s="1">
        <v>8.5625300000000006</v>
      </c>
      <c r="F175" s="1">
        <v>12.6371</v>
      </c>
      <c r="G175" s="1">
        <v>10.015741</v>
      </c>
      <c r="H175" s="7" t="str">
        <f t="shared" si="4"/>
        <v>km/l</v>
      </c>
      <c r="I175" s="1" cm="1">
        <f t="array" ref="I175">_xlfn.IFS(D175="GASOLINA",24,D175="HIBRIDO",24,D175="ELÉCTRICO",5,D175="DIESEL",27)</f>
        <v>24</v>
      </c>
      <c r="J175" s="1">
        <v>274</v>
      </c>
      <c r="K175" s="1">
        <v>185</v>
      </c>
      <c r="L175" s="1">
        <v>234</v>
      </c>
      <c r="M175" t="s">
        <v>230</v>
      </c>
      <c r="N175" s="5" t="s">
        <v>10</v>
      </c>
    </row>
    <row r="176" spans="1:14">
      <c r="A176" s="4">
        <v>1174</v>
      </c>
      <c r="B176" s="5" t="s">
        <v>219</v>
      </c>
      <c r="C176" s="5" t="s">
        <v>195</v>
      </c>
      <c r="D176" s="5" t="s">
        <v>1</v>
      </c>
      <c r="E176" s="1">
        <v>8.5625300000000006</v>
      </c>
      <c r="F176" s="1">
        <v>12.6371</v>
      </c>
      <c r="G176" s="1">
        <v>10.015741</v>
      </c>
      <c r="H176" s="7" t="str">
        <f t="shared" si="4"/>
        <v>km/l</v>
      </c>
      <c r="I176" s="1" cm="1">
        <f t="array" ref="I176">_xlfn.IFS(D176="GASOLINA",24,D176="HIBRIDO",24,D176="ELÉCTRICO",5,D176="DIESEL",27)</f>
        <v>24</v>
      </c>
      <c r="J176" s="1">
        <v>274</v>
      </c>
      <c r="K176" s="1">
        <v>185</v>
      </c>
      <c r="L176" s="1">
        <v>234</v>
      </c>
      <c r="M176" t="s">
        <v>230</v>
      </c>
      <c r="N176" s="5" t="s">
        <v>10</v>
      </c>
    </row>
    <row r="177" spans="1:14">
      <c r="A177" s="4">
        <v>1175</v>
      </c>
      <c r="B177" s="5" t="s">
        <v>219</v>
      </c>
      <c r="C177" s="5" t="s">
        <v>196</v>
      </c>
      <c r="D177" s="5" t="s">
        <v>1</v>
      </c>
      <c r="E177" s="1">
        <v>7.67842</v>
      </c>
      <c r="F177" s="1">
        <v>12.082100000000001</v>
      </c>
      <c r="G177" s="1">
        <v>9.1848924000000007</v>
      </c>
      <c r="H177" s="7" t="str">
        <f t="shared" si="4"/>
        <v>km/l</v>
      </c>
      <c r="I177" s="1" cm="1">
        <f t="array" ref="I177">_xlfn.IFS(D177="GASOLINA",24,D177="HIBRIDO",24,D177="ELÉCTRICO",5,D177="DIESEL",27)</f>
        <v>24</v>
      </c>
      <c r="J177" s="1">
        <v>305</v>
      </c>
      <c r="K177" s="1">
        <v>194</v>
      </c>
      <c r="L177" s="1">
        <v>255</v>
      </c>
      <c r="M177" t="s">
        <v>230</v>
      </c>
      <c r="N177" s="5" t="s">
        <v>10</v>
      </c>
    </row>
    <row r="178" spans="1:14">
      <c r="A178" s="4">
        <v>1176</v>
      </c>
      <c r="B178" s="5" t="s">
        <v>219</v>
      </c>
      <c r="C178" s="5" t="s">
        <v>197</v>
      </c>
      <c r="D178" s="5" t="s">
        <v>17</v>
      </c>
      <c r="E178" s="1">
        <v>22.962</v>
      </c>
      <c r="F178" s="1">
        <v>20.632200000000001</v>
      </c>
      <c r="G178" s="1">
        <v>21.851642999999999</v>
      </c>
      <c r="H178" s="7" t="str">
        <f t="shared" si="4"/>
        <v>km/l</v>
      </c>
      <c r="I178" s="1" cm="1">
        <f t="array" ref="I178">_xlfn.IFS(D178="GASOLINA",24,D178="HIBRIDO",24,D178="ELÉCTRICO",5,D178="DIESEL",27)</f>
        <v>24</v>
      </c>
      <c r="J178" s="1">
        <v>104</v>
      </c>
      <c r="K178" s="1">
        <v>112</v>
      </c>
      <c r="L178" s="1">
        <v>108</v>
      </c>
      <c r="M178" t="s">
        <v>34</v>
      </c>
      <c r="N178" s="5" t="s">
        <v>489</v>
      </c>
    </row>
    <row r="179" spans="1:14">
      <c r="A179" s="4">
        <v>1177</v>
      </c>
      <c r="B179" s="5" t="s">
        <v>219</v>
      </c>
      <c r="C179" s="5" t="s">
        <v>198</v>
      </c>
      <c r="D179" s="5" t="s">
        <v>17</v>
      </c>
      <c r="E179" s="1">
        <v>22.962</v>
      </c>
      <c r="F179" s="1">
        <v>20.632200000000001</v>
      </c>
      <c r="G179" s="1">
        <v>21.851642999999999</v>
      </c>
      <c r="H179" s="7" t="str">
        <f t="shared" si="4"/>
        <v>km/l</v>
      </c>
      <c r="I179" s="1" cm="1">
        <f t="array" ref="I179">_xlfn.IFS(D179="GASOLINA",24,D179="HIBRIDO",24,D179="ELÉCTRICO",5,D179="DIESEL",27)</f>
        <v>24</v>
      </c>
      <c r="J179" s="1">
        <v>104</v>
      </c>
      <c r="K179" s="1">
        <v>112</v>
      </c>
      <c r="L179" s="1">
        <v>108</v>
      </c>
      <c r="M179" t="s">
        <v>34</v>
      </c>
      <c r="N179" s="5" t="s">
        <v>489</v>
      </c>
    </row>
    <row r="180" spans="1:14">
      <c r="A180" s="4">
        <v>1178</v>
      </c>
      <c r="B180" s="5" t="s">
        <v>219</v>
      </c>
      <c r="C180" s="5" t="s">
        <v>199</v>
      </c>
      <c r="D180" s="5" t="s">
        <v>1</v>
      </c>
      <c r="E180" s="1">
        <v>7.7019000000000002</v>
      </c>
      <c r="F180" s="1">
        <v>14.184699999999999</v>
      </c>
      <c r="G180" s="1">
        <v>9.6959996000000004</v>
      </c>
      <c r="H180" s="7" t="str">
        <f t="shared" si="4"/>
        <v>km/l</v>
      </c>
      <c r="I180" s="1" cm="1">
        <f t="array" ref="I180">_xlfn.IFS(D180="GASOLINA",24,D180="HIBRIDO",24,D180="ELÉCTRICO",5,D180="DIESEL",27)</f>
        <v>24</v>
      </c>
      <c r="J180" s="1">
        <v>304</v>
      </c>
      <c r="K180" s="1">
        <v>165</v>
      </c>
      <c r="L180" s="1">
        <v>242</v>
      </c>
      <c r="M180" t="s">
        <v>230</v>
      </c>
      <c r="N180" s="5" t="s">
        <v>10</v>
      </c>
    </row>
    <row r="181" spans="1:14">
      <c r="A181" s="4">
        <v>1179</v>
      </c>
      <c r="B181" s="5" t="s">
        <v>219</v>
      </c>
      <c r="C181" s="5" t="s">
        <v>200</v>
      </c>
      <c r="D181" s="5" t="s">
        <v>1</v>
      </c>
      <c r="E181" s="1">
        <v>7.6680099999999998</v>
      </c>
      <c r="F181" s="1">
        <v>14.0213</v>
      </c>
      <c r="G181" s="1">
        <v>9.6320031000000004</v>
      </c>
      <c r="H181" s="7" t="str">
        <f t="shared" si="4"/>
        <v>km/l</v>
      </c>
      <c r="I181" s="1" cm="1">
        <f t="array" ref="I181">_xlfn.IFS(D181="GASOLINA",24,D181="HIBRIDO",24,D181="ELÉCTRICO",5,D181="DIESEL",27)</f>
        <v>24</v>
      </c>
      <c r="J181" s="1">
        <v>306</v>
      </c>
      <c r="K181" s="1">
        <v>167</v>
      </c>
      <c r="L181" s="1">
        <v>243</v>
      </c>
      <c r="M181" t="s">
        <v>230</v>
      </c>
      <c r="N181" s="5" t="s">
        <v>10</v>
      </c>
    </row>
    <row r="182" spans="1:14">
      <c r="A182" s="4">
        <v>1180</v>
      </c>
      <c r="B182" s="5" t="s">
        <v>219</v>
      </c>
      <c r="C182" s="5" t="s">
        <v>201</v>
      </c>
      <c r="D182" s="5" t="s">
        <v>1</v>
      </c>
      <c r="E182" s="1">
        <v>6.0534800000000004</v>
      </c>
      <c r="F182" s="1">
        <v>10.764699999999999</v>
      </c>
      <c r="G182" s="1">
        <v>7.5380634000000004</v>
      </c>
      <c r="H182" s="7" t="str">
        <f t="shared" si="4"/>
        <v>km/l</v>
      </c>
      <c r="I182" s="1" cm="1">
        <f t="array" ref="I182">_xlfn.IFS(D182="GASOLINA",24,D182="HIBRIDO",24,D182="ELÉCTRICO",5,D182="DIESEL",27)</f>
        <v>24</v>
      </c>
      <c r="J182" s="1">
        <v>387</v>
      </c>
      <c r="K182" s="1">
        <v>218</v>
      </c>
      <c r="L182" s="1">
        <v>311</v>
      </c>
      <c r="M182" t="s">
        <v>230</v>
      </c>
      <c r="N182" s="5" t="s">
        <v>10</v>
      </c>
    </row>
    <row r="183" spans="1:14">
      <c r="A183" s="4">
        <v>1181</v>
      </c>
      <c r="B183" s="5" t="s">
        <v>219</v>
      </c>
      <c r="C183" s="5" t="s">
        <v>202</v>
      </c>
      <c r="D183" s="5" t="s">
        <v>1</v>
      </c>
      <c r="E183" s="1">
        <v>7.7019000000000002</v>
      </c>
      <c r="F183" s="1">
        <v>14.184699999999999</v>
      </c>
      <c r="G183" s="1">
        <v>9.6959996000000004</v>
      </c>
      <c r="H183" s="7" t="str">
        <f t="shared" si="4"/>
        <v>km/l</v>
      </c>
      <c r="I183" s="1" cm="1">
        <f t="array" ref="I183">_xlfn.IFS(D183="GASOLINA",24,D183="HIBRIDO",24,D183="ELÉCTRICO",5,D183="DIESEL",27)</f>
        <v>24</v>
      </c>
      <c r="J183" s="1">
        <v>304</v>
      </c>
      <c r="K183" s="1">
        <v>165</v>
      </c>
      <c r="L183" s="1">
        <v>242</v>
      </c>
      <c r="M183" t="s">
        <v>230</v>
      </c>
      <c r="N183" s="5" t="s">
        <v>10</v>
      </c>
    </row>
    <row r="184" spans="1:14">
      <c r="A184" s="4">
        <v>1182</v>
      </c>
      <c r="B184" s="5" t="s">
        <v>219</v>
      </c>
      <c r="C184" s="5" t="s">
        <v>203</v>
      </c>
      <c r="D184" s="5" t="s">
        <v>1</v>
      </c>
      <c r="E184" s="1">
        <v>16.2607</v>
      </c>
      <c r="F184" s="1">
        <v>25.900600000000001</v>
      </c>
      <c r="G184" s="1">
        <v>19.532001000000001</v>
      </c>
      <c r="H184" s="7" t="str">
        <f t="shared" si="4"/>
        <v>km/l</v>
      </c>
      <c r="I184" s="1" cm="1">
        <f t="array" ref="I184">_xlfn.IFS(D184="GASOLINA",24,D184="HIBRIDO",24,D184="ELÉCTRICO",5,D184="DIESEL",27)</f>
        <v>24</v>
      </c>
      <c r="J184" s="1">
        <v>144</v>
      </c>
      <c r="K184" s="1">
        <v>90</v>
      </c>
      <c r="L184" s="1">
        <v>120</v>
      </c>
      <c r="M184" t="s">
        <v>354</v>
      </c>
      <c r="N184" s="5" t="s">
        <v>10</v>
      </c>
    </row>
    <row r="185" spans="1:14">
      <c r="A185" s="4">
        <v>1183</v>
      </c>
      <c r="B185" s="5" t="s">
        <v>219</v>
      </c>
      <c r="C185" s="5" t="s">
        <v>204</v>
      </c>
      <c r="D185" s="5" t="s">
        <v>1</v>
      </c>
      <c r="E185" s="1">
        <v>15.962899999999999</v>
      </c>
      <c r="F185" s="1">
        <v>25.923300000000001</v>
      </c>
      <c r="G185" s="1">
        <v>19.299869999999999</v>
      </c>
      <c r="H185" s="7" t="str">
        <f t="shared" si="4"/>
        <v>km/l</v>
      </c>
      <c r="I185" s="1" cm="1">
        <f t="array" ref="I185">_xlfn.IFS(D185="GASOLINA",24,D185="HIBRIDO",24,D185="ELÉCTRICO",5,D185="DIESEL",27)</f>
        <v>24</v>
      </c>
      <c r="J185" s="1">
        <v>147</v>
      </c>
      <c r="K185" s="1">
        <v>90</v>
      </c>
      <c r="L185" s="1">
        <v>121</v>
      </c>
      <c r="M185" t="s">
        <v>354</v>
      </c>
      <c r="N185" s="5" t="s">
        <v>10</v>
      </c>
    </row>
    <row r="186" spans="1:14">
      <c r="A186" s="4">
        <v>1184</v>
      </c>
      <c r="B186" s="5" t="s">
        <v>219</v>
      </c>
      <c r="C186" s="5" t="s">
        <v>205</v>
      </c>
      <c r="D186" s="5" t="s">
        <v>1</v>
      </c>
      <c r="E186" s="1">
        <v>5.8784599999999996</v>
      </c>
      <c r="F186" s="1">
        <v>10.012700000000001</v>
      </c>
      <c r="G186" s="1">
        <v>7.2199631000000002</v>
      </c>
      <c r="H186" s="7" t="str">
        <f t="shared" si="4"/>
        <v>km/l</v>
      </c>
      <c r="I186" s="1" cm="1">
        <f t="array" ref="I186">_xlfn.IFS(D186="GASOLINA",24,D186="HIBRIDO",24,D186="ELÉCTRICO",5,D186="DIESEL",27)</f>
        <v>24</v>
      </c>
      <c r="J186" s="1">
        <v>399</v>
      </c>
      <c r="K186" s="1">
        <v>234</v>
      </c>
      <c r="L186" s="1">
        <v>325</v>
      </c>
      <c r="M186" t="s">
        <v>230</v>
      </c>
      <c r="N186" s="5" t="s">
        <v>10</v>
      </c>
    </row>
    <row r="187" spans="1:14">
      <c r="A187" s="4">
        <v>1185</v>
      </c>
      <c r="B187" s="5" t="s">
        <v>219</v>
      </c>
      <c r="C187" s="5" t="s">
        <v>221</v>
      </c>
      <c r="D187" s="5" t="s">
        <v>15</v>
      </c>
      <c r="E187" s="1">
        <v>2.73</v>
      </c>
      <c r="F187" s="1">
        <v>2.73</v>
      </c>
      <c r="G187" s="1">
        <v>2.73</v>
      </c>
      <c r="H187" s="8" t="str">
        <f t="shared" si="4"/>
        <v>km/kwh</v>
      </c>
      <c r="I187" s="2" cm="1">
        <f t="array" ref="I187">_xlfn.IFS(D187="GASOLINA",24,D187="HIBRIDO",24,D187="ELÉCTRICO",5,D187="DIESEL",27)</f>
        <v>5</v>
      </c>
      <c r="J187" s="1">
        <v>0</v>
      </c>
      <c r="K187" s="1">
        <v>0</v>
      </c>
      <c r="L187" s="1">
        <v>0</v>
      </c>
      <c r="M187" t="s">
        <v>89</v>
      </c>
      <c r="N187" s="5" t="s">
        <v>489</v>
      </c>
    </row>
    <row r="188" spans="1:14">
      <c r="A188" s="4">
        <v>1186</v>
      </c>
      <c r="B188" s="5" t="s">
        <v>219</v>
      </c>
      <c r="C188" s="5" t="s">
        <v>222</v>
      </c>
      <c r="D188" s="5" t="s">
        <v>15</v>
      </c>
      <c r="E188" s="1">
        <v>2.73</v>
      </c>
      <c r="F188" s="1">
        <v>2.73</v>
      </c>
      <c r="G188" s="1">
        <v>2.73</v>
      </c>
      <c r="H188" s="8" t="str">
        <f t="shared" si="4"/>
        <v>km/kwh</v>
      </c>
      <c r="I188" s="2" cm="1">
        <f t="array" ref="I188">_xlfn.IFS(D188="GASOLINA",24,D188="HIBRIDO",24,D188="ELÉCTRICO",5,D188="DIESEL",27)</f>
        <v>5</v>
      </c>
      <c r="J188" s="1">
        <v>0</v>
      </c>
      <c r="K188" s="1">
        <v>0</v>
      </c>
      <c r="L188" s="1">
        <v>0</v>
      </c>
      <c r="M188" t="s">
        <v>89</v>
      </c>
      <c r="N188" s="5" t="s">
        <v>489</v>
      </c>
    </row>
    <row r="189" spans="1:14">
      <c r="A189" s="4">
        <v>1187</v>
      </c>
      <c r="B189" s="5" t="s">
        <v>219</v>
      </c>
      <c r="C189" s="5" t="s">
        <v>206</v>
      </c>
      <c r="D189" s="5" t="s">
        <v>57</v>
      </c>
      <c r="E189" s="1">
        <v>13.054600000000001</v>
      </c>
      <c r="F189" s="1">
        <v>14.348599999999999</v>
      </c>
      <c r="G189" s="1">
        <v>13.606779</v>
      </c>
      <c r="H189" s="8" t="str">
        <f t="shared" ref="H189:H206" si="5">IF(D189="ELÉCTRICO","km/kwh",IF(OR(D189="GASOLINA",D189="HIBRIDO",D189="DIESEL"),"km/l","N/D"))</f>
        <v>km/l</v>
      </c>
      <c r="I189" s="2" cm="1">
        <f t="array" ref="I189">_xlfn.IFS(D189="GASOLINA",24,D189="HIBRIDO",24,D189="ELÉCTRICO",5,D189="DIESEL",27)</f>
        <v>27</v>
      </c>
      <c r="J189" s="1">
        <v>206</v>
      </c>
      <c r="K189" s="1">
        <v>187</v>
      </c>
      <c r="L189" s="1">
        <v>197</v>
      </c>
      <c r="M189" t="s">
        <v>34</v>
      </c>
      <c r="N189" s="5" t="s">
        <v>2</v>
      </c>
    </row>
    <row r="190" spans="1:14">
      <c r="A190" s="4">
        <v>1188</v>
      </c>
      <c r="B190" s="5" t="s">
        <v>219</v>
      </c>
      <c r="C190" s="5" t="s">
        <v>207</v>
      </c>
      <c r="D190" s="5" t="s">
        <v>1</v>
      </c>
      <c r="E190" s="1">
        <v>8.2759599999999995</v>
      </c>
      <c r="F190" s="1">
        <v>12.701499999999999</v>
      </c>
      <c r="G190" s="1">
        <v>9.8148598000000007</v>
      </c>
      <c r="H190" s="8" t="str">
        <f t="shared" si="5"/>
        <v>km/l</v>
      </c>
      <c r="I190" s="2" cm="1">
        <f t="array" ref="I190">_xlfn.IFS(D190="GASOLINA",24,D190="HIBRIDO",24,D190="ELÉCTRICO",5,D190="DIESEL",27)</f>
        <v>24</v>
      </c>
      <c r="J190" s="1">
        <v>283</v>
      </c>
      <c r="K190" s="1">
        <v>184</v>
      </c>
      <c r="L190" s="1">
        <v>239</v>
      </c>
      <c r="M190" t="s">
        <v>230</v>
      </c>
      <c r="N190" s="5" t="s">
        <v>10</v>
      </c>
    </row>
    <row r="191" spans="1:14">
      <c r="A191" s="4">
        <v>1189</v>
      </c>
      <c r="B191" s="5" t="s">
        <v>219</v>
      </c>
      <c r="C191" s="5" t="s">
        <v>208</v>
      </c>
      <c r="D191" s="5" t="s">
        <v>1</v>
      </c>
      <c r="E191" s="1">
        <v>8.2759599999999995</v>
      </c>
      <c r="F191" s="1">
        <v>12.701499999999999</v>
      </c>
      <c r="G191" s="1">
        <v>9.8148598000000007</v>
      </c>
      <c r="H191" s="8" t="str">
        <f t="shared" si="5"/>
        <v>km/l</v>
      </c>
      <c r="I191" s="2" cm="1">
        <f t="array" ref="I191">_xlfn.IFS(D191="GASOLINA",24,D191="HIBRIDO",24,D191="ELÉCTRICO",5,D191="DIESEL",27)</f>
        <v>24</v>
      </c>
      <c r="J191" s="1">
        <v>283</v>
      </c>
      <c r="K191" s="1">
        <v>184</v>
      </c>
      <c r="L191" s="1">
        <v>239</v>
      </c>
      <c r="M191" t="s">
        <v>230</v>
      </c>
      <c r="N191" s="5" t="s">
        <v>10</v>
      </c>
    </row>
    <row r="192" spans="1:14">
      <c r="A192" s="4">
        <v>1190</v>
      </c>
      <c r="B192" s="5" t="s">
        <v>219</v>
      </c>
      <c r="C192" s="5" t="s">
        <v>209</v>
      </c>
      <c r="D192" s="5" t="s">
        <v>1</v>
      </c>
      <c r="E192" s="1">
        <v>7.71814</v>
      </c>
      <c r="F192" s="1">
        <v>11.5707</v>
      </c>
      <c r="G192" s="1">
        <v>9.0783743999999995</v>
      </c>
      <c r="H192" s="8" t="str">
        <f t="shared" si="5"/>
        <v>km/l</v>
      </c>
      <c r="I192" s="2" cm="1">
        <f t="array" ref="I192">_xlfn.IFS(D192="GASOLINA",24,D192="HIBRIDO",24,D192="ELÉCTRICO",5,D192="DIESEL",27)</f>
        <v>24</v>
      </c>
      <c r="J192" s="1">
        <v>304</v>
      </c>
      <c r="K192" s="1">
        <v>202</v>
      </c>
      <c r="L192" s="1">
        <v>258</v>
      </c>
      <c r="M192" t="s">
        <v>230</v>
      </c>
      <c r="N192" s="5" t="s">
        <v>10</v>
      </c>
    </row>
    <row r="193" spans="1:14">
      <c r="A193" s="4">
        <v>1191</v>
      </c>
      <c r="B193" s="5" t="s">
        <v>219</v>
      </c>
      <c r="C193" s="5" t="s">
        <v>210</v>
      </c>
      <c r="D193" s="5" t="s">
        <v>1</v>
      </c>
      <c r="E193" s="1">
        <v>7.71814</v>
      </c>
      <c r="F193" s="1">
        <v>11.5707</v>
      </c>
      <c r="G193" s="1">
        <v>9.0783743999999995</v>
      </c>
      <c r="H193" s="8" t="str">
        <f t="shared" si="5"/>
        <v>km/l</v>
      </c>
      <c r="I193" s="2" cm="1">
        <f t="array" ref="I193">_xlfn.IFS(D193="GASOLINA",24,D193="HIBRIDO",24,D193="ELÉCTRICO",5,D193="DIESEL",27)</f>
        <v>24</v>
      </c>
      <c r="J193" s="1">
        <v>304</v>
      </c>
      <c r="K193" s="1">
        <v>202</v>
      </c>
      <c r="L193" s="1">
        <v>258</v>
      </c>
      <c r="M193" t="s">
        <v>230</v>
      </c>
      <c r="N193" s="5" t="s">
        <v>10</v>
      </c>
    </row>
    <row r="194" spans="1:14">
      <c r="A194" s="4">
        <v>1192</v>
      </c>
      <c r="B194" s="5" t="s">
        <v>219</v>
      </c>
      <c r="C194" s="5" t="s">
        <v>211</v>
      </c>
      <c r="D194" s="5" t="s">
        <v>1</v>
      </c>
      <c r="E194" s="1">
        <v>8.2759599999999995</v>
      </c>
      <c r="F194" s="1">
        <v>12.701499999999999</v>
      </c>
      <c r="G194" s="1">
        <v>9.8148598000000007</v>
      </c>
      <c r="H194" s="8" t="str">
        <f t="shared" si="5"/>
        <v>km/l</v>
      </c>
      <c r="I194" s="2" cm="1">
        <f t="array" ref="I194">_xlfn.IFS(D194="GASOLINA",24,D194="HIBRIDO",24,D194="ELÉCTRICO",5,D194="DIESEL",27)</f>
        <v>24</v>
      </c>
      <c r="J194" s="1">
        <v>283</v>
      </c>
      <c r="K194" s="1">
        <v>184</v>
      </c>
      <c r="L194" s="1">
        <v>239</v>
      </c>
      <c r="M194" t="s">
        <v>230</v>
      </c>
      <c r="N194" s="5" t="s">
        <v>10</v>
      </c>
    </row>
    <row r="195" spans="1:14">
      <c r="A195" s="4">
        <v>1193</v>
      </c>
      <c r="B195" s="5" t="s">
        <v>219</v>
      </c>
      <c r="C195" s="5" t="s">
        <v>212</v>
      </c>
      <c r="D195" s="5" t="s">
        <v>1</v>
      </c>
      <c r="E195" s="1">
        <v>7.5731400000000004</v>
      </c>
      <c r="F195" s="1">
        <v>11.7149</v>
      </c>
      <c r="G195" s="1">
        <v>9.0059450999999999</v>
      </c>
      <c r="H195" s="8" t="str">
        <f t="shared" si="5"/>
        <v>km/l</v>
      </c>
      <c r="I195" s="2" cm="1">
        <f t="array" ref="I195">_xlfn.IFS(D195="GASOLINA",24,D195="HIBRIDO",24,D195="ELÉCTRICO",5,D195="DIESEL",27)</f>
        <v>24</v>
      </c>
      <c r="J195" s="1">
        <v>310</v>
      </c>
      <c r="K195" s="1">
        <v>200</v>
      </c>
      <c r="L195" s="1">
        <v>260</v>
      </c>
      <c r="M195" t="s">
        <v>230</v>
      </c>
      <c r="N195" s="5" t="s">
        <v>10</v>
      </c>
    </row>
    <row r="196" spans="1:14">
      <c r="A196" s="4">
        <v>1194</v>
      </c>
      <c r="B196" s="5" t="s">
        <v>219</v>
      </c>
      <c r="C196" s="5" t="s">
        <v>213</v>
      </c>
      <c r="D196" s="5" t="s">
        <v>1</v>
      </c>
      <c r="E196" s="1">
        <v>7.71814</v>
      </c>
      <c r="F196" s="1">
        <v>11.5707</v>
      </c>
      <c r="G196" s="1">
        <v>9.0783743999999995</v>
      </c>
      <c r="H196" s="8" t="str">
        <f t="shared" si="5"/>
        <v>km/l</v>
      </c>
      <c r="I196" s="2" cm="1">
        <f t="array" ref="I196">_xlfn.IFS(D196="GASOLINA",24,D196="HIBRIDO",24,D196="ELÉCTRICO",5,D196="DIESEL",27)</f>
        <v>24</v>
      </c>
      <c r="J196" s="1">
        <v>304</v>
      </c>
      <c r="K196" s="1">
        <v>202</v>
      </c>
      <c r="L196" s="1">
        <v>258</v>
      </c>
      <c r="M196" t="s">
        <v>230</v>
      </c>
      <c r="N196" s="5" t="s">
        <v>10</v>
      </c>
    </row>
    <row r="197" spans="1:14">
      <c r="A197" s="4">
        <v>1195</v>
      </c>
      <c r="B197" s="5" t="s">
        <v>219</v>
      </c>
      <c r="C197" s="5" t="s">
        <v>214</v>
      </c>
      <c r="D197" s="5" t="s">
        <v>1</v>
      </c>
      <c r="E197" s="1">
        <v>8.2326800000000002</v>
      </c>
      <c r="F197" s="1">
        <v>12.487399999999999</v>
      </c>
      <c r="G197" s="1">
        <v>9.7235481000000004</v>
      </c>
      <c r="H197" s="8" t="str">
        <f t="shared" si="5"/>
        <v>km/l</v>
      </c>
      <c r="I197" s="2" cm="1">
        <f t="array" ref="I197">_xlfn.IFS(D197="GASOLINA",24,D197="HIBRIDO",24,D197="ELÉCTRICO",5,D197="DIESEL",27)</f>
        <v>24</v>
      </c>
      <c r="J197" s="1">
        <v>285</v>
      </c>
      <c r="K197" s="1">
        <v>188</v>
      </c>
      <c r="L197" s="1">
        <v>241</v>
      </c>
      <c r="M197" t="s">
        <v>230</v>
      </c>
      <c r="N197" s="5" t="s">
        <v>10</v>
      </c>
    </row>
    <row r="198" spans="1:14">
      <c r="A198" s="4">
        <v>1196</v>
      </c>
      <c r="B198" s="5" t="s">
        <v>219</v>
      </c>
      <c r="C198" s="5" t="s">
        <v>215</v>
      </c>
      <c r="D198" s="5" t="s">
        <v>1</v>
      </c>
      <c r="E198" s="1">
        <v>5.8784599999999996</v>
      </c>
      <c r="F198" s="1">
        <v>10.012700000000001</v>
      </c>
      <c r="G198" s="1">
        <v>7.2199631000000002</v>
      </c>
      <c r="H198" s="8" t="str">
        <f t="shared" si="5"/>
        <v>km/l</v>
      </c>
      <c r="I198" s="2" cm="1">
        <f t="array" ref="I198">_xlfn.IFS(D198="GASOLINA",24,D198="HIBRIDO",24,D198="ELÉCTRICO",5,D198="DIESEL",27)</f>
        <v>24</v>
      </c>
      <c r="J198" s="1">
        <v>399</v>
      </c>
      <c r="K198" s="1">
        <v>234</v>
      </c>
      <c r="L198" s="1">
        <v>325</v>
      </c>
      <c r="M198" t="s">
        <v>230</v>
      </c>
      <c r="N198" s="5" t="s">
        <v>10</v>
      </c>
    </row>
    <row r="199" spans="1:14">
      <c r="A199" s="4">
        <v>1197</v>
      </c>
      <c r="B199" s="5" t="s">
        <v>219</v>
      </c>
      <c r="C199" s="5" t="s">
        <v>216</v>
      </c>
      <c r="D199" s="5" t="s">
        <v>1</v>
      </c>
      <c r="E199" s="1">
        <v>6.0534800000000004</v>
      </c>
      <c r="F199" s="1">
        <v>10.764699999999999</v>
      </c>
      <c r="G199" s="1">
        <v>7.5380634000000004</v>
      </c>
      <c r="H199" s="8" t="str">
        <f t="shared" si="5"/>
        <v>km/l</v>
      </c>
      <c r="I199" s="2" cm="1">
        <f t="array" ref="I199">_xlfn.IFS(D199="GASOLINA",24,D199="HIBRIDO",24,D199="ELÉCTRICO",5,D199="DIESEL",27)</f>
        <v>24</v>
      </c>
      <c r="J199" s="1">
        <v>387</v>
      </c>
      <c r="K199" s="1">
        <v>218</v>
      </c>
      <c r="L199" s="1">
        <v>311</v>
      </c>
      <c r="M199" t="s">
        <v>230</v>
      </c>
      <c r="N199" s="5" t="s">
        <v>10</v>
      </c>
    </row>
    <row r="200" spans="1:14">
      <c r="A200" s="4">
        <v>1198</v>
      </c>
      <c r="B200" s="5" t="s">
        <v>219</v>
      </c>
      <c r="C200" s="5" t="s">
        <v>217</v>
      </c>
      <c r="D200" s="5" t="s">
        <v>1</v>
      </c>
      <c r="E200" s="1">
        <v>6.1399499999999998</v>
      </c>
      <c r="F200" s="1">
        <v>9.7551900000000007</v>
      </c>
      <c r="G200" s="1">
        <v>7.3688418000000002</v>
      </c>
      <c r="H200" s="8" t="str">
        <f t="shared" si="5"/>
        <v>km/l</v>
      </c>
      <c r="I200" s="2" cm="1">
        <f t="array" ref="I200">_xlfn.IFS(D200="GASOLINA",24,D200="HIBRIDO",24,D200="ELÉCTRICO",5,D200="DIESEL",27)</f>
        <v>24</v>
      </c>
      <c r="J200" s="1">
        <v>382</v>
      </c>
      <c r="K200" s="1">
        <v>240</v>
      </c>
      <c r="L200" s="1">
        <v>318</v>
      </c>
      <c r="M200" t="s">
        <v>230</v>
      </c>
      <c r="N200" s="5" t="s">
        <v>10</v>
      </c>
    </row>
    <row r="201" spans="1:14">
      <c r="A201" s="4">
        <v>1199</v>
      </c>
      <c r="B201" s="5" t="s">
        <v>219</v>
      </c>
      <c r="C201" s="5" t="s">
        <v>218</v>
      </c>
      <c r="D201" s="5" t="s">
        <v>1</v>
      </c>
      <c r="E201" s="1">
        <v>6.1399499999999998</v>
      </c>
      <c r="F201" s="1">
        <v>9.7551900000000007</v>
      </c>
      <c r="G201" s="1">
        <v>7.3688418000000002</v>
      </c>
      <c r="H201" s="8" t="str">
        <f t="shared" si="5"/>
        <v>km/l</v>
      </c>
      <c r="I201" s="2" cm="1">
        <f t="array" ref="I201">_xlfn.IFS(D201="GASOLINA",24,D201="HIBRIDO",24,D201="ELÉCTRICO",5,D201="DIESEL",27)</f>
        <v>24</v>
      </c>
      <c r="J201" s="1">
        <v>382</v>
      </c>
      <c r="K201" s="1">
        <v>240</v>
      </c>
      <c r="L201" s="1">
        <v>318</v>
      </c>
      <c r="M201" t="s">
        <v>230</v>
      </c>
      <c r="N201" s="5" t="s">
        <v>10</v>
      </c>
    </row>
    <row r="202" spans="1:14">
      <c r="A202" s="4">
        <v>1200</v>
      </c>
      <c r="B202" s="5" t="s">
        <v>223</v>
      </c>
      <c r="C202" s="5" t="s">
        <v>224</v>
      </c>
      <c r="D202" s="5" t="s">
        <v>15</v>
      </c>
      <c r="E202" s="1">
        <v>7</v>
      </c>
      <c r="F202" s="1">
        <v>7</v>
      </c>
      <c r="G202" s="1">
        <v>7</v>
      </c>
      <c r="H202" s="8" t="str">
        <f t="shared" si="5"/>
        <v>km/kwh</v>
      </c>
      <c r="I202" s="2" cm="1">
        <f t="array" ref="I202">_xlfn.IFS(D202="GASOLINA",24,D202="HIBRIDO",24,D202="ELÉCTRICO",5,D202="DIESEL",27)</f>
        <v>5</v>
      </c>
      <c r="J202" s="1">
        <v>0</v>
      </c>
      <c r="K202" s="1">
        <v>0</v>
      </c>
      <c r="L202" s="1">
        <v>0</v>
      </c>
      <c r="M202" t="s">
        <v>89</v>
      </c>
      <c r="N202" s="5" t="s">
        <v>10</v>
      </c>
    </row>
    <row r="203" spans="1:14">
      <c r="A203" s="4">
        <v>1201</v>
      </c>
      <c r="B203" s="5" t="s">
        <v>223</v>
      </c>
      <c r="C203" s="5" t="s">
        <v>225</v>
      </c>
      <c r="D203" s="5" t="s">
        <v>17</v>
      </c>
      <c r="E203" s="1">
        <v>20.190000000000001</v>
      </c>
      <c r="F203" s="1">
        <v>20.63</v>
      </c>
      <c r="G203" s="1">
        <v>20.39</v>
      </c>
      <c r="H203" s="8" t="str">
        <f t="shared" si="5"/>
        <v>km/l</v>
      </c>
      <c r="I203" s="2" cm="1">
        <f t="array" ref="I203">_xlfn.IFS(D203="GASOLINA",24,D203="HIBRIDO",24,D203="ELÉCTRICO",5,D203="DIESEL",27)</f>
        <v>24</v>
      </c>
      <c r="J203" s="1">
        <v>116.3</v>
      </c>
      <c r="K203" s="1">
        <v>113.8</v>
      </c>
      <c r="L203" s="1">
        <v>115.1</v>
      </c>
      <c r="M203" t="s">
        <v>34</v>
      </c>
      <c r="N203" s="5" t="s">
        <v>10</v>
      </c>
    </row>
    <row r="204" spans="1:14">
      <c r="A204" s="4">
        <v>1202</v>
      </c>
      <c r="B204" s="5" t="s">
        <v>223</v>
      </c>
      <c r="C204" s="5" t="s">
        <v>226</v>
      </c>
      <c r="D204" s="5" t="s">
        <v>17</v>
      </c>
      <c r="E204" s="1">
        <v>16.2</v>
      </c>
      <c r="F204" s="1">
        <v>13.9</v>
      </c>
      <c r="G204" s="1">
        <v>15.1</v>
      </c>
      <c r="H204" s="8" t="str">
        <f t="shared" si="5"/>
        <v>km/l</v>
      </c>
      <c r="I204" s="2" cm="1">
        <f t="array" ref="I204">_xlfn.IFS(D204="GASOLINA",24,D204="HIBRIDO",24,D204="ELÉCTRICO",5,D204="DIESEL",27)</f>
        <v>24</v>
      </c>
      <c r="J204" s="1">
        <v>145</v>
      </c>
      <c r="K204" s="1">
        <v>169.5</v>
      </c>
      <c r="L204" s="1">
        <v>156</v>
      </c>
      <c r="M204" t="s">
        <v>34</v>
      </c>
      <c r="N204" s="5" t="s">
        <v>10</v>
      </c>
    </row>
    <row r="205" spans="1:14">
      <c r="A205" s="4">
        <v>1203</v>
      </c>
      <c r="B205" s="5" t="s">
        <v>223</v>
      </c>
      <c r="C205" s="5" t="s">
        <v>227</v>
      </c>
      <c r="D205" s="5" t="s">
        <v>15</v>
      </c>
      <c r="E205" s="1">
        <v>5.79</v>
      </c>
      <c r="F205" s="1">
        <v>5.79</v>
      </c>
      <c r="G205" s="1">
        <v>5.79</v>
      </c>
      <c r="H205" s="8" t="str">
        <f t="shared" si="5"/>
        <v>km/kwh</v>
      </c>
      <c r="I205" s="2" cm="1">
        <f t="array" ref="I205">_xlfn.IFS(D205="GASOLINA",24,D205="HIBRIDO",24,D205="ELÉCTRICO",5,D205="DIESEL",27)</f>
        <v>5</v>
      </c>
      <c r="J205" s="1">
        <v>0</v>
      </c>
      <c r="K205" s="1">
        <v>0</v>
      </c>
      <c r="L205" s="1">
        <v>0</v>
      </c>
      <c r="M205" t="s">
        <v>89</v>
      </c>
      <c r="N205" s="5" t="s">
        <v>10</v>
      </c>
    </row>
    <row r="206" spans="1:14">
      <c r="A206" s="4">
        <v>1204</v>
      </c>
      <c r="B206" s="5" t="s">
        <v>223</v>
      </c>
      <c r="C206" s="5" t="s">
        <v>228</v>
      </c>
      <c r="D206" s="5" t="s">
        <v>17</v>
      </c>
      <c r="E206" s="1">
        <v>24.05</v>
      </c>
      <c r="F206" s="1">
        <v>19.23</v>
      </c>
      <c r="G206" s="1">
        <v>21.61</v>
      </c>
      <c r="H206" s="8" t="str">
        <f t="shared" si="5"/>
        <v>km/l</v>
      </c>
      <c r="I206" s="2" cm="1">
        <f t="array" ref="I206">_xlfn.IFS(D206="GASOLINA",24,D206="HIBRIDO",24,D206="ELÉCTRICO",5,D206="DIESEL",27)</f>
        <v>24</v>
      </c>
      <c r="J206" s="1">
        <v>97.6</v>
      </c>
      <c r="K206" s="1">
        <v>122.1</v>
      </c>
      <c r="L206" s="1">
        <v>119.592</v>
      </c>
      <c r="M206" t="s">
        <v>34</v>
      </c>
      <c r="N206" s="5" t="s">
        <v>2</v>
      </c>
    </row>
    <row r="207" spans="1:14">
      <c r="A207" s="4">
        <v>1205</v>
      </c>
      <c r="B207" s="5" t="s">
        <v>267</v>
      </c>
      <c r="C207" s="5" t="s">
        <v>229</v>
      </c>
      <c r="D207" s="5" t="s">
        <v>1</v>
      </c>
      <c r="E207" s="1">
        <v>8.9925700000000006</v>
      </c>
      <c r="F207" s="1">
        <v>14.5799</v>
      </c>
      <c r="G207" s="1">
        <v>10.866486</v>
      </c>
      <c r="H207" s="8" t="str">
        <f t="shared" ref="H207:H248" si="6">IF(D207="ELÉCTRICO","km/kwh",IF(OR(D207="GASOLINA",D207="HIBRIDO",D207="DIESEL"),"km/l","N/D"))</f>
        <v>km/l</v>
      </c>
      <c r="I207" s="2" cm="1">
        <f t="array" ref="I207">_xlfn.IFS(D207="GASOLINA",24,D207="HIBRIDO",24,D207="ELÉCTRICO",5,D207="DIESEL",27)</f>
        <v>24</v>
      </c>
      <c r="J207" s="1">
        <v>261</v>
      </c>
      <c r="K207" s="1">
        <v>161</v>
      </c>
      <c r="L207" s="1">
        <v>216</v>
      </c>
      <c r="M207" t="s">
        <v>230</v>
      </c>
      <c r="N207" s="5" t="s">
        <v>10</v>
      </c>
    </row>
    <row r="208" spans="1:14">
      <c r="A208" s="4">
        <v>1206</v>
      </c>
      <c r="B208" s="5" t="s">
        <v>267</v>
      </c>
      <c r="C208" s="5" t="s">
        <v>231</v>
      </c>
      <c r="D208" s="5" t="s">
        <v>1</v>
      </c>
      <c r="E208" s="1">
        <v>7.7945799999999998</v>
      </c>
      <c r="F208" s="1">
        <v>10.4041</v>
      </c>
      <c r="G208" s="1">
        <v>8.7862501000000002</v>
      </c>
      <c r="H208" s="8" t="str">
        <f t="shared" si="6"/>
        <v>km/l</v>
      </c>
      <c r="I208" s="2" cm="1">
        <f t="array" ref="I208">_xlfn.IFS(D208="GASOLINA",24,D208="HIBRIDO",24,D208="ELÉCTRICO",5,D208="DIESEL",27)</f>
        <v>24</v>
      </c>
      <c r="J208" s="1">
        <v>301</v>
      </c>
      <c r="K208" s="1">
        <v>225</v>
      </c>
      <c r="L208" s="1">
        <v>267</v>
      </c>
      <c r="M208" t="s">
        <v>40</v>
      </c>
      <c r="N208" s="5" t="s">
        <v>10</v>
      </c>
    </row>
    <row r="209" spans="1:14">
      <c r="A209" s="4">
        <v>1207</v>
      </c>
      <c r="B209" s="5" t="s">
        <v>267</v>
      </c>
      <c r="C209" s="5" t="s">
        <v>232</v>
      </c>
      <c r="D209" s="5" t="s">
        <v>1</v>
      </c>
      <c r="E209" s="1">
        <v>5.6516000000000002</v>
      </c>
      <c r="F209" s="1">
        <v>8.9626000000000001</v>
      </c>
      <c r="G209" s="1">
        <v>6.7792802999999999</v>
      </c>
      <c r="H209" s="8" t="str">
        <f t="shared" si="6"/>
        <v>km/l</v>
      </c>
      <c r="I209" s="2" cm="1">
        <f t="array" ref="I209">_xlfn.IFS(D209="GASOLINA",24,D209="HIBRIDO",24,D209="ELÉCTRICO",5,D209="DIESEL",27)</f>
        <v>24</v>
      </c>
      <c r="J209" s="1">
        <v>415</v>
      </c>
      <c r="K209" s="1">
        <v>261</v>
      </c>
      <c r="L209" s="1">
        <v>346</v>
      </c>
      <c r="M209" t="s">
        <v>230</v>
      </c>
      <c r="N209" s="5" t="s">
        <v>10</v>
      </c>
    </row>
    <row r="210" spans="1:14">
      <c r="A210" s="4">
        <v>1208</v>
      </c>
      <c r="B210" s="5" t="s">
        <v>267</v>
      </c>
      <c r="C210" s="5" t="s">
        <v>233</v>
      </c>
      <c r="D210" s="5" t="s">
        <v>1</v>
      </c>
      <c r="E210" s="1">
        <v>8.3000000000000007</v>
      </c>
      <c r="F210" s="1">
        <v>15.4</v>
      </c>
      <c r="G210" s="1">
        <v>10.5</v>
      </c>
      <c r="H210" s="8" t="str">
        <f t="shared" si="6"/>
        <v>km/l</v>
      </c>
      <c r="I210" s="2" cm="1">
        <f t="array" ref="I210">_xlfn.IFS(D210="GASOLINA",24,D210="HIBRIDO",24,D210="ELÉCTRICO",5,D210="DIESEL",27)</f>
        <v>24</v>
      </c>
      <c r="J210" s="1">
        <v>282</v>
      </c>
      <c r="K210" s="1">
        <v>152</v>
      </c>
      <c r="L210" s="1">
        <v>224</v>
      </c>
      <c r="M210" t="s">
        <v>230</v>
      </c>
      <c r="N210" s="5" t="s">
        <v>2</v>
      </c>
    </row>
    <row r="211" spans="1:14">
      <c r="A211" s="4">
        <v>1209</v>
      </c>
      <c r="B211" s="5" t="s">
        <v>267</v>
      </c>
      <c r="C211" s="5" t="s">
        <v>234</v>
      </c>
      <c r="D211" s="5" t="s">
        <v>1</v>
      </c>
      <c r="E211" s="1">
        <v>7.5</v>
      </c>
      <c r="F211" s="1">
        <v>13</v>
      </c>
      <c r="G211" s="1">
        <v>9.3000000000000007</v>
      </c>
      <c r="H211" s="8" t="str">
        <f t="shared" si="6"/>
        <v>km/l</v>
      </c>
      <c r="I211" s="2" cm="1">
        <f t="array" ref="I211">_xlfn.IFS(D211="GASOLINA",24,D211="HIBRIDO",24,D211="ELÉCTRICO",5,D211="DIESEL",27)</f>
        <v>24</v>
      </c>
      <c r="J211" s="1">
        <v>313</v>
      </c>
      <c r="K211" s="1">
        <v>180</v>
      </c>
      <c r="L211" s="1">
        <v>253</v>
      </c>
      <c r="M211" t="s">
        <v>230</v>
      </c>
      <c r="N211" s="5" t="s">
        <v>2</v>
      </c>
    </row>
    <row r="212" spans="1:14">
      <c r="A212" s="4">
        <v>1210</v>
      </c>
      <c r="B212" s="5" t="s">
        <v>267</v>
      </c>
      <c r="C212" s="5" t="s">
        <v>235</v>
      </c>
      <c r="D212" s="5" t="s">
        <v>1</v>
      </c>
      <c r="E212" s="1">
        <v>5.7633999999999999</v>
      </c>
      <c r="F212" s="1">
        <v>9.7622900000000001</v>
      </c>
      <c r="G212" s="1">
        <v>7.0650469999999999</v>
      </c>
      <c r="H212" s="8" t="str">
        <f t="shared" si="6"/>
        <v>km/l</v>
      </c>
      <c r="I212" s="2" cm="1">
        <f t="array" ref="I212">_xlfn.IFS(D212="GASOLINA",24,D212="HIBRIDO",24,D212="ELÉCTRICO",5,D212="DIESEL",27)</f>
        <v>24</v>
      </c>
      <c r="J212" s="1">
        <v>407</v>
      </c>
      <c r="K212" s="1">
        <v>240</v>
      </c>
      <c r="L212" s="1">
        <v>332</v>
      </c>
      <c r="M212" t="s">
        <v>230</v>
      </c>
      <c r="N212" s="5" t="s">
        <v>10</v>
      </c>
    </row>
    <row r="213" spans="1:14">
      <c r="A213" s="4">
        <v>1211</v>
      </c>
      <c r="B213" s="5" t="s">
        <v>267</v>
      </c>
      <c r="C213" s="5" t="s">
        <v>236</v>
      </c>
      <c r="D213" s="5" t="s">
        <v>1</v>
      </c>
      <c r="E213" s="1">
        <v>11.95</v>
      </c>
      <c r="F213" s="1">
        <v>20.399999999999999</v>
      </c>
      <c r="G213" s="1">
        <v>14.7</v>
      </c>
      <c r="H213" s="8" t="str">
        <f t="shared" si="6"/>
        <v>km/l</v>
      </c>
      <c r="I213" s="2" cm="1">
        <f t="array" ref="I213">_xlfn.IFS(D213="GASOLINA",24,D213="HIBRIDO",24,D213="ELÉCTRICO",5,D213="DIESEL",27)</f>
        <v>24</v>
      </c>
      <c r="J213" s="1">
        <v>196</v>
      </c>
      <c r="K213" s="1">
        <v>114</v>
      </c>
      <c r="L213" s="1">
        <v>159</v>
      </c>
      <c r="M213" t="s">
        <v>237</v>
      </c>
      <c r="N213" s="5" t="s">
        <v>10</v>
      </c>
    </row>
    <row r="214" spans="1:14">
      <c r="A214" s="4">
        <v>1212</v>
      </c>
      <c r="B214" s="5" t="s">
        <v>267</v>
      </c>
      <c r="C214" s="5" t="s">
        <v>238</v>
      </c>
      <c r="D214" s="5" t="s">
        <v>1</v>
      </c>
      <c r="E214" s="1">
        <v>9.3986400000000003</v>
      </c>
      <c r="F214" s="1">
        <v>14.9931</v>
      </c>
      <c r="G214" s="1">
        <v>11.295226</v>
      </c>
      <c r="H214" s="8" t="str">
        <f t="shared" si="6"/>
        <v>km/l</v>
      </c>
      <c r="I214" s="2" cm="1">
        <f t="array" ref="I214">_xlfn.IFS(D214="GASOLINA",24,D214="HIBRIDO",24,D214="ELÉCTRICO",5,D214="DIESEL",27)</f>
        <v>24</v>
      </c>
      <c r="J214" s="1">
        <v>249</v>
      </c>
      <c r="K214" s="1">
        <v>156</v>
      </c>
      <c r="L214" s="1">
        <v>207</v>
      </c>
      <c r="M214" t="s">
        <v>40</v>
      </c>
      <c r="N214" s="5" t="s">
        <v>10</v>
      </c>
    </row>
    <row r="215" spans="1:14">
      <c r="A215" s="4">
        <v>1213</v>
      </c>
      <c r="B215" s="5" t="s">
        <v>267</v>
      </c>
      <c r="C215" s="5" t="s">
        <v>239</v>
      </c>
      <c r="D215" s="5" t="s">
        <v>1</v>
      </c>
      <c r="E215" s="1">
        <v>11.4841</v>
      </c>
      <c r="F215" s="1">
        <v>17.738299999999999</v>
      </c>
      <c r="G215" s="1">
        <v>13.649759</v>
      </c>
      <c r="H215" s="8" t="str">
        <f t="shared" si="6"/>
        <v>km/l</v>
      </c>
      <c r="I215" s="2" cm="1">
        <f t="array" ref="I215">_xlfn.IFS(D215="GASOLINA",24,D215="HIBRIDO",24,D215="ELÉCTRICO",5,D215="DIESEL",27)</f>
        <v>24</v>
      </c>
      <c r="J215" s="1">
        <v>204</v>
      </c>
      <c r="K215" s="1">
        <v>132</v>
      </c>
      <c r="L215" s="1">
        <v>171</v>
      </c>
      <c r="M215" t="s">
        <v>237</v>
      </c>
      <c r="N215" s="5" t="s">
        <v>10</v>
      </c>
    </row>
    <row r="216" spans="1:14">
      <c r="A216" s="4">
        <v>1214</v>
      </c>
      <c r="B216" s="5" t="s">
        <v>267</v>
      </c>
      <c r="C216" s="5" t="s">
        <v>240</v>
      </c>
      <c r="D216" s="5" t="s">
        <v>1</v>
      </c>
      <c r="E216" s="1">
        <v>11.4841</v>
      </c>
      <c r="F216" s="1">
        <v>17.738299999999999</v>
      </c>
      <c r="G216" s="1">
        <v>13.649759</v>
      </c>
      <c r="H216" s="8" t="str">
        <f t="shared" si="6"/>
        <v>km/l</v>
      </c>
      <c r="I216" s="2" cm="1">
        <f t="array" ref="I216">_xlfn.IFS(D216="GASOLINA",24,D216="HIBRIDO",24,D216="ELÉCTRICO",5,D216="DIESEL",27)</f>
        <v>24</v>
      </c>
      <c r="J216" s="1">
        <v>204</v>
      </c>
      <c r="K216" s="1">
        <v>132</v>
      </c>
      <c r="L216" s="1">
        <v>171</v>
      </c>
      <c r="M216" t="s">
        <v>237</v>
      </c>
      <c r="N216" s="5" t="s">
        <v>10</v>
      </c>
    </row>
    <row r="217" spans="1:14">
      <c r="A217" s="4">
        <v>1215</v>
      </c>
      <c r="B217" s="5" t="s">
        <v>267</v>
      </c>
      <c r="C217" s="5" t="s">
        <v>241</v>
      </c>
      <c r="D217" s="5" t="s">
        <v>1</v>
      </c>
      <c r="E217" s="1">
        <v>8.8944799999999997</v>
      </c>
      <c r="F217" s="1">
        <v>13.895799999999999</v>
      </c>
      <c r="G217" s="1">
        <v>10.613467999999999</v>
      </c>
      <c r="H217" s="8" t="str">
        <f t="shared" si="6"/>
        <v>km/l</v>
      </c>
      <c r="I217" s="2" cm="1">
        <f t="array" ref="I217">_xlfn.IFS(D217="GASOLINA",24,D217="HIBRIDO",24,D217="ELÉCTRICO",5,D217="DIESEL",27)</f>
        <v>24</v>
      </c>
      <c r="J217" s="1">
        <v>263</v>
      </c>
      <c r="K217" s="1">
        <v>168</v>
      </c>
      <c r="L217" s="1">
        <v>221</v>
      </c>
      <c r="M217" t="s">
        <v>40</v>
      </c>
      <c r="N217" s="5" t="s">
        <v>10</v>
      </c>
    </row>
    <row r="218" spans="1:14">
      <c r="A218" s="4">
        <v>1216</v>
      </c>
      <c r="B218" s="5" t="s">
        <v>267</v>
      </c>
      <c r="C218" s="5" t="s">
        <v>242</v>
      </c>
      <c r="D218" s="5" t="s">
        <v>1</v>
      </c>
      <c r="E218" s="1">
        <v>8.5222300000000004</v>
      </c>
      <c r="F218" s="1">
        <v>12.234500000000001</v>
      </c>
      <c r="G218" s="1">
        <v>9.8698709999999998</v>
      </c>
      <c r="H218" s="8" t="str">
        <f t="shared" si="6"/>
        <v>km/l</v>
      </c>
      <c r="I218" s="2" cm="1">
        <f t="array" ref="I218">_xlfn.IFS(D218="GASOLINA",24,D218="HIBRIDO",24,D218="ELÉCTRICO",5,D218="DIESEL",27)</f>
        <v>24</v>
      </c>
      <c r="J218" s="1">
        <v>275</v>
      </c>
      <c r="K218" s="1">
        <v>191</v>
      </c>
      <c r="L218" s="1">
        <v>237</v>
      </c>
      <c r="M218" t="s">
        <v>40</v>
      </c>
      <c r="N218" s="5" t="s">
        <v>10</v>
      </c>
    </row>
    <row r="219" spans="1:14">
      <c r="A219" s="4">
        <v>1217</v>
      </c>
      <c r="B219" s="5" t="s">
        <v>267</v>
      </c>
      <c r="C219" s="5" t="s">
        <v>243</v>
      </c>
      <c r="D219" s="5" t="s">
        <v>1</v>
      </c>
      <c r="E219" s="1">
        <v>14.9</v>
      </c>
      <c r="F219" s="1">
        <v>18.899999999999999</v>
      </c>
      <c r="G219" s="1">
        <v>16.5</v>
      </c>
      <c r="H219" s="8" t="str">
        <f t="shared" si="6"/>
        <v>km/l</v>
      </c>
      <c r="I219" s="2" cm="1">
        <f t="array" ref="I219">_xlfn.IFS(D219="GASOLINA",24,D219="HIBRIDO",24,D219="ELÉCTRICO",5,D219="DIESEL",27)</f>
        <v>24</v>
      </c>
      <c r="J219" s="1">
        <v>157</v>
      </c>
      <c r="K219" s="1">
        <v>124</v>
      </c>
      <c r="L219" s="1">
        <v>142</v>
      </c>
      <c r="M219" t="s">
        <v>354</v>
      </c>
      <c r="N219" s="5" t="s">
        <v>10</v>
      </c>
    </row>
    <row r="220" spans="1:14">
      <c r="A220" s="4">
        <v>1218</v>
      </c>
      <c r="B220" s="5" t="s">
        <v>267</v>
      </c>
      <c r="C220" s="5" t="s">
        <v>244</v>
      </c>
      <c r="D220" s="5" t="s">
        <v>1</v>
      </c>
      <c r="E220" s="1">
        <v>11.9834</v>
      </c>
      <c r="F220" s="1">
        <v>16.761299999999999</v>
      </c>
      <c r="G220" s="1">
        <v>13.746810999999999</v>
      </c>
      <c r="H220" s="8" t="str">
        <f t="shared" si="6"/>
        <v>km/l</v>
      </c>
      <c r="I220" s="2" cm="1">
        <f t="array" ref="I220">_xlfn.IFS(D220="GASOLINA",24,D220="HIBRIDO",24,D220="ELÉCTRICO",5,D220="DIESEL",27)</f>
        <v>24</v>
      </c>
      <c r="J220" s="1">
        <v>195</v>
      </c>
      <c r="K220" s="1">
        <v>140</v>
      </c>
      <c r="L220" s="1">
        <v>170</v>
      </c>
      <c r="M220" t="s">
        <v>237</v>
      </c>
      <c r="N220" s="5" t="s">
        <v>10</v>
      </c>
    </row>
    <row r="221" spans="1:14">
      <c r="A221" s="4">
        <v>1219</v>
      </c>
      <c r="B221" s="5" t="s">
        <v>267</v>
      </c>
      <c r="C221" s="5" t="s">
        <v>245</v>
      </c>
      <c r="D221" s="5" t="s">
        <v>1</v>
      </c>
      <c r="E221" s="1">
        <v>12.09</v>
      </c>
      <c r="F221" s="1">
        <v>17.760000000000002</v>
      </c>
      <c r="G221" s="1">
        <v>14.13</v>
      </c>
      <c r="H221" s="8" t="str">
        <f t="shared" si="6"/>
        <v>km/l</v>
      </c>
      <c r="I221" s="2" cm="1">
        <f t="array" ref="I221">_xlfn.IFS(D221="GASOLINA",24,D221="HIBRIDO",24,D221="ELÉCTRICO",5,D221="DIESEL",27)</f>
        <v>24</v>
      </c>
      <c r="J221" s="1">
        <v>195</v>
      </c>
      <c r="K221" s="1">
        <v>134</v>
      </c>
      <c r="L221" s="1">
        <v>167</v>
      </c>
      <c r="M221" t="s">
        <v>237</v>
      </c>
      <c r="N221" s="5" t="s">
        <v>10</v>
      </c>
    </row>
    <row r="222" spans="1:14">
      <c r="A222" s="4">
        <v>1220</v>
      </c>
      <c r="B222" s="5" t="s">
        <v>267</v>
      </c>
      <c r="C222" s="5" t="s">
        <v>246</v>
      </c>
      <c r="D222" s="5" t="s">
        <v>1</v>
      </c>
      <c r="E222" s="1">
        <v>20.62</v>
      </c>
      <c r="F222" s="1">
        <v>18.690000000000001</v>
      </c>
      <c r="G222" s="1">
        <v>20.16</v>
      </c>
      <c r="H222" s="8" t="str">
        <f t="shared" si="6"/>
        <v>km/l</v>
      </c>
      <c r="I222" s="2" cm="1">
        <f t="array" ref="I222">_xlfn.IFS(D222="GASOLINA",24,D222="HIBRIDO",24,D222="ELÉCTRICO",5,D222="DIESEL",27)</f>
        <v>24</v>
      </c>
      <c r="J222" s="1">
        <v>113</v>
      </c>
      <c r="K222" s="1">
        <v>125</v>
      </c>
      <c r="L222" s="1">
        <v>119</v>
      </c>
      <c r="M222" t="s">
        <v>237</v>
      </c>
      <c r="N222" s="5" t="s">
        <v>10</v>
      </c>
    </row>
    <row r="223" spans="1:14">
      <c r="A223" s="4">
        <v>1221</v>
      </c>
      <c r="B223" s="5" t="s">
        <v>267</v>
      </c>
      <c r="C223" s="5" t="s">
        <v>247</v>
      </c>
      <c r="D223" s="5" t="s">
        <v>1</v>
      </c>
      <c r="E223" s="1">
        <v>25.25</v>
      </c>
      <c r="F223" s="1">
        <v>22.87</v>
      </c>
      <c r="G223" s="1">
        <v>24.124223000000001</v>
      </c>
      <c r="H223" s="8" t="str">
        <f t="shared" si="6"/>
        <v>km/l</v>
      </c>
      <c r="I223" s="2" cm="1">
        <f t="array" ref="I223">_xlfn.IFS(D223="GASOLINA",24,D223="HIBRIDO",24,D223="ELÉCTRICO",5,D223="DIESEL",27)</f>
        <v>24</v>
      </c>
      <c r="J223" s="1">
        <v>92</v>
      </c>
      <c r="K223" s="1">
        <v>102</v>
      </c>
      <c r="L223" s="1">
        <v>97</v>
      </c>
      <c r="M223" t="s">
        <v>237</v>
      </c>
      <c r="N223" s="5" t="s">
        <v>10</v>
      </c>
    </row>
    <row r="224" spans="1:14">
      <c r="A224" s="4">
        <v>1222</v>
      </c>
      <c r="B224" s="5" t="s">
        <v>267</v>
      </c>
      <c r="C224" s="5" t="s">
        <v>248</v>
      </c>
      <c r="D224" s="5" t="s">
        <v>1</v>
      </c>
      <c r="E224" s="1">
        <v>16.965</v>
      </c>
      <c r="F224" s="1">
        <v>18.974900000000002</v>
      </c>
      <c r="G224" s="1">
        <v>17.869439</v>
      </c>
      <c r="H224" s="8" t="str">
        <f t="shared" si="6"/>
        <v>km/l</v>
      </c>
      <c r="I224" s="2" cm="1">
        <f t="array" ref="I224">_xlfn.IFS(D224="GASOLINA",24,D224="HIBRIDO",24,D224="ELÉCTRICO",5,D224="DIESEL",27)</f>
        <v>24</v>
      </c>
      <c r="J224" s="1">
        <v>138</v>
      </c>
      <c r="K224" s="1">
        <v>123</v>
      </c>
      <c r="L224" s="1">
        <v>131</v>
      </c>
      <c r="M224" t="s">
        <v>34</v>
      </c>
      <c r="N224" s="5" t="s">
        <v>10</v>
      </c>
    </row>
    <row r="225" spans="1:14">
      <c r="A225" s="4">
        <v>1223</v>
      </c>
      <c r="B225" s="5" t="s">
        <v>267</v>
      </c>
      <c r="C225" s="5" t="s">
        <v>249</v>
      </c>
      <c r="D225" s="5" t="s">
        <v>1</v>
      </c>
      <c r="E225" s="1">
        <v>10.369899999999999</v>
      </c>
      <c r="F225" s="1">
        <v>14.0905</v>
      </c>
      <c r="G225" s="1">
        <v>11.768195</v>
      </c>
      <c r="H225" s="8" t="str">
        <f t="shared" si="6"/>
        <v>km/l</v>
      </c>
      <c r="I225" s="2" cm="1">
        <f t="array" ref="I225">_xlfn.IFS(D225="GASOLINA",24,D225="HIBRIDO",24,D225="ELÉCTRICO",5,D225="DIESEL",27)</f>
        <v>24</v>
      </c>
      <c r="J225" s="1">
        <v>226</v>
      </c>
      <c r="K225" s="1">
        <v>166</v>
      </c>
      <c r="L225" s="1">
        <v>199</v>
      </c>
      <c r="M225" t="s">
        <v>237</v>
      </c>
      <c r="N225" s="5" t="s">
        <v>10</v>
      </c>
    </row>
    <row r="226" spans="1:14">
      <c r="A226" s="4">
        <v>1224</v>
      </c>
      <c r="B226" s="5" t="s">
        <v>267</v>
      </c>
      <c r="C226" s="5" t="s">
        <v>250</v>
      </c>
      <c r="D226" s="5" t="s">
        <v>1</v>
      </c>
      <c r="E226" s="1">
        <v>10.084</v>
      </c>
      <c r="F226" s="1">
        <v>13.995799999999999</v>
      </c>
      <c r="G226" s="1">
        <v>11.534815</v>
      </c>
      <c r="H226" s="8" t="str">
        <f t="shared" si="6"/>
        <v>km/l</v>
      </c>
      <c r="I226" s="2" cm="1">
        <f t="array" ref="I226">_xlfn.IFS(D226="GASOLINA",24,D226="HIBRIDO",24,D226="ELÉCTRICO",5,D226="DIESEL",27)</f>
        <v>24</v>
      </c>
      <c r="J226" s="1">
        <v>232</v>
      </c>
      <c r="K226" s="1">
        <v>167</v>
      </c>
      <c r="L226" s="1">
        <v>203</v>
      </c>
      <c r="M226" t="s">
        <v>40</v>
      </c>
      <c r="N226" s="5" t="s">
        <v>10</v>
      </c>
    </row>
    <row r="227" spans="1:14">
      <c r="A227" s="4">
        <v>1225</v>
      </c>
      <c r="B227" s="5" t="s">
        <v>267</v>
      </c>
      <c r="C227" s="5" t="s">
        <v>251</v>
      </c>
      <c r="D227" s="5" t="s">
        <v>1</v>
      </c>
      <c r="E227" s="1">
        <v>7.89</v>
      </c>
      <c r="F227" s="1">
        <v>10.199999999999999</v>
      </c>
      <c r="G227" s="1">
        <v>8.7912756999999999</v>
      </c>
      <c r="H227" s="8" t="str">
        <f t="shared" si="6"/>
        <v>km/l</v>
      </c>
      <c r="I227" s="2" cm="1">
        <f t="array" ref="I227">_xlfn.IFS(D227="GASOLINA",24,D227="HIBRIDO",24,D227="ELÉCTRICO",5,D227="DIESEL",27)</f>
        <v>24</v>
      </c>
      <c r="J227" s="1">
        <v>297</v>
      </c>
      <c r="K227" s="1">
        <v>230</v>
      </c>
      <c r="L227" s="1">
        <v>267</v>
      </c>
      <c r="M227" t="s">
        <v>40</v>
      </c>
      <c r="N227" s="5" t="s">
        <v>10</v>
      </c>
    </row>
    <row r="228" spans="1:14">
      <c r="A228" s="4">
        <v>1226</v>
      </c>
      <c r="B228" s="5" t="s">
        <v>267</v>
      </c>
      <c r="C228" s="5" t="s">
        <v>252</v>
      </c>
      <c r="D228" s="5" t="s">
        <v>1</v>
      </c>
      <c r="E228" s="1">
        <v>12.017799999999999</v>
      </c>
      <c r="F228" s="1">
        <v>19.401499999999999</v>
      </c>
      <c r="G228" s="1">
        <v>14.499582999999999</v>
      </c>
      <c r="H228" s="8" t="str">
        <f t="shared" si="6"/>
        <v>km/l</v>
      </c>
      <c r="I228" s="2" cm="1">
        <f t="array" ref="I228">_xlfn.IFS(D228="GASOLINA",24,D228="HIBRIDO",24,D228="ELÉCTRICO",5,D228="DIESEL",27)</f>
        <v>24</v>
      </c>
      <c r="J228" s="1">
        <v>195</v>
      </c>
      <c r="K228" s="1">
        <v>121</v>
      </c>
      <c r="L228" s="1">
        <v>161</v>
      </c>
      <c r="M228" t="s">
        <v>237</v>
      </c>
      <c r="N228" s="5" t="s">
        <v>10</v>
      </c>
    </row>
    <row r="229" spans="1:14">
      <c r="A229" s="4">
        <v>1227</v>
      </c>
      <c r="B229" s="5" t="s">
        <v>267</v>
      </c>
      <c r="C229" s="5" t="s">
        <v>253</v>
      </c>
      <c r="D229" s="5" t="s">
        <v>1</v>
      </c>
      <c r="E229" s="1">
        <v>25.6</v>
      </c>
      <c r="F229" s="1">
        <v>22.9</v>
      </c>
      <c r="G229" s="1">
        <v>24.3</v>
      </c>
      <c r="H229" s="8" t="str">
        <f t="shared" si="6"/>
        <v>km/l</v>
      </c>
      <c r="I229" s="2" cm="1">
        <f t="array" ref="I229">_xlfn.IFS(D229="GASOLINA",24,D229="HIBRIDO",24,D229="ELÉCTRICO",5,D229="DIESEL",27)</f>
        <v>24</v>
      </c>
      <c r="J229" s="1">
        <v>91</v>
      </c>
      <c r="K229" s="1">
        <v>102</v>
      </c>
      <c r="L229" s="1">
        <v>96</v>
      </c>
      <c r="M229" t="s">
        <v>237</v>
      </c>
      <c r="N229" s="5" t="s">
        <v>10</v>
      </c>
    </row>
    <row r="230" spans="1:14">
      <c r="A230" s="4">
        <v>1228</v>
      </c>
      <c r="B230" s="5" t="s">
        <v>267</v>
      </c>
      <c r="C230" s="5" t="s">
        <v>254</v>
      </c>
      <c r="D230" s="5" t="s">
        <v>1</v>
      </c>
      <c r="E230" s="1">
        <v>25.872199999999999</v>
      </c>
      <c r="F230" s="1">
        <v>23.13</v>
      </c>
      <c r="G230" s="1">
        <v>24.558980999999999</v>
      </c>
      <c r="H230" s="8" t="str">
        <f t="shared" si="6"/>
        <v>km/l</v>
      </c>
      <c r="I230" s="2" cm="1">
        <f t="array" ref="I230">_xlfn.IFS(D230="GASOLINA",24,D230="HIBRIDO",24,D230="ELÉCTRICO",5,D230="DIESEL",27)</f>
        <v>24</v>
      </c>
      <c r="J230" s="1">
        <v>90</v>
      </c>
      <c r="K230" s="1">
        <v>101</v>
      </c>
      <c r="L230" s="1">
        <v>95</v>
      </c>
      <c r="M230" t="s">
        <v>237</v>
      </c>
      <c r="N230" s="5" t="s">
        <v>10</v>
      </c>
    </row>
    <row r="231" spans="1:14">
      <c r="A231" s="4">
        <v>1229</v>
      </c>
      <c r="B231" s="5" t="s">
        <v>267</v>
      </c>
      <c r="C231" s="5" t="s">
        <v>255</v>
      </c>
      <c r="D231" s="5" t="s">
        <v>57</v>
      </c>
      <c r="E231" s="1">
        <v>11.606199999999999</v>
      </c>
      <c r="F231" s="1">
        <v>15.2735</v>
      </c>
      <c r="G231" s="1">
        <v>11.412376</v>
      </c>
      <c r="H231" s="8" t="str">
        <f t="shared" si="6"/>
        <v>km/l</v>
      </c>
      <c r="I231" s="2" cm="1">
        <f t="array" ref="I231">_xlfn.IFS(D231="GASOLINA",24,D231="HIBRIDO",24,D231="ELÉCTRICO",5,D231="DIESEL",27)</f>
        <v>27</v>
      </c>
      <c r="J231" s="1">
        <v>233</v>
      </c>
      <c r="K231" s="1">
        <v>172</v>
      </c>
      <c r="L231" s="1">
        <v>205</v>
      </c>
      <c r="M231" t="s">
        <v>237</v>
      </c>
      <c r="N231" s="5" t="s">
        <v>10</v>
      </c>
    </row>
    <row r="232" spans="1:14">
      <c r="A232" s="4">
        <v>1230</v>
      </c>
      <c r="B232" s="5" t="s">
        <v>267</v>
      </c>
      <c r="C232" s="5" t="s">
        <v>256</v>
      </c>
      <c r="D232" s="5" t="s">
        <v>1</v>
      </c>
      <c r="E232" s="1">
        <v>10.402200000000001</v>
      </c>
      <c r="F232" s="1">
        <v>11.9</v>
      </c>
      <c r="G232" s="1">
        <v>11.567943</v>
      </c>
      <c r="H232" s="8" t="str">
        <f t="shared" si="6"/>
        <v>km/l</v>
      </c>
      <c r="I232" s="2" cm="1">
        <f t="array" ref="I232">_xlfn.IFS(D232="GASOLINA",24,D232="HIBRIDO",24,D232="ELÉCTRICO",5,D232="DIESEL",27)</f>
        <v>24</v>
      </c>
      <c r="J232" s="1">
        <v>225</v>
      </c>
      <c r="K232" s="1">
        <v>175</v>
      </c>
      <c r="L232" s="1">
        <v>202</v>
      </c>
      <c r="M232" t="s">
        <v>237</v>
      </c>
      <c r="N232" s="5" t="s">
        <v>10</v>
      </c>
    </row>
    <row r="233" spans="1:14">
      <c r="A233" s="4">
        <v>1231</v>
      </c>
      <c r="B233" s="5" t="s">
        <v>267</v>
      </c>
      <c r="C233" s="5" t="s">
        <v>257</v>
      </c>
      <c r="D233" s="5" t="s">
        <v>1</v>
      </c>
      <c r="E233" s="1">
        <v>10.470700000000001</v>
      </c>
      <c r="F233" s="1">
        <v>14.1751</v>
      </c>
      <c r="G233" s="1">
        <v>11.866151</v>
      </c>
      <c r="H233" s="8" t="str">
        <f t="shared" si="6"/>
        <v>km/l</v>
      </c>
      <c r="I233" s="2" cm="1">
        <f t="array" ref="I233">_xlfn.IFS(D233="GASOLINA",24,D233="HIBRIDO",24,D233="ELÉCTRICO",5,D233="DIESEL",27)</f>
        <v>24</v>
      </c>
      <c r="J233" s="1">
        <v>224</v>
      </c>
      <c r="K233" s="1">
        <v>165</v>
      </c>
      <c r="L233" s="1">
        <v>197</v>
      </c>
      <c r="M233" t="s">
        <v>237</v>
      </c>
      <c r="N233" s="5" t="s">
        <v>10</v>
      </c>
    </row>
    <row r="234" spans="1:14">
      <c r="A234" s="4">
        <v>1232</v>
      </c>
      <c r="B234" s="5" t="s">
        <v>267</v>
      </c>
      <c r="C234" s="5" t="s">
        <v>258</v>
      </c>
      <c r="D234" s="5" t="s">
        <v>1</v>
      </c>
      <c r="E234" s="1">
        <v>8.5500000000000007</v>
      </c>
      <c r="F234" s="1">
        <v>11.2</v>
      </c>
      <c r="G234" s="1">
        <v>9.4213131000000008</v>
      </c>
      <c r="H234" s="8" t="str">
        <f t="shared" si="6"/>
        <v>km/l</v>
      </c>
      <c r="I234" s="2" cm="1">
        <f t="array" ref="I234">_xlfn.IFS(D234="GASOLINA",24,D234="HIBRIDO",24,D234="ELÉCTRICO",5,D234="DIESEL",27)</f>
        <v>24</v>
      </c>
      <c r="J234" s="1">
        <v>278</v>
      </c>
      <c r="K234" s="1">
        <v>213</v>
      </c>
      <c r="L234" s="1">
        <v>249</v>
      </c>
      <c r="M234" t="s">
        <v>40</v>
      </c>
      <c r="N234" s="5" t="s">
        <v>10</v>
      </c>
    </row>
    <row r="235" spans="1:14">
      <c r="A235" s="4">
        <v>1233</v>
      </c>
      <c r="B235" s="5" t="s">
        <v>267</v>
      </c>
      <c r="C235" s="5" t="s">
        <v>259</v>
      </c>
      <c r="D235" s="5" t="s">
        <v>57</v>
      </c>
      <c r="E235" s="1">
        <v>12.157400000000001</v>
      </c>
      <c r="F235" s="1">
        <v>14.858499999999999</v>
      </c>
      <c r="G235" s="1">
        <v>13.240499</v>
      </c>
      <c r="H235" s="8" t="str">
        <f t="shared" si="6"/>
        <v>km/l</v>
      </c>
      <c r="I235" s="2" cm="1">
        <f t="array" ref="I235">_xlfn.IFS(D235="GASOLINA",24,D235="HIBRIDO",24,D235="ELÉCTRICO",5,D235="DIESEL",27)</f>
        <v>27</v>
      </c>
      <c r="J235" s="1">
        <v>221</v>
      </c>
      <c r="K235" s="1">
        <v>180</v>
      </c>
      <c r="L235" s="1">
        <v>203</v>
      </c>
      <c r="M235" t="s">
        <v>237</v>
      </c>
      <c r="N235" s="5" t="s">
        <v>2</v>
      </c>
    </row>
    <row r="236" spans="1:14" s="3" customFormat="1">
      <c r="A236" s="4">
        <v>1234</v>
      </c>
      <c r="B236" s="6" t="s">
        <v>267</v>
      </c>
      <c r="C236" s="6" t="s">
        <v>268</v>
      </c>
      <c r="D236" s="6" t="s">
        <v>15</v>
      </c>
      <c r="E236" s="2">
        <v>5.67</v>
      </c>
      <c r="F236" s="2">
        <v>5.67</v>
      </c>
      <c r="G236" s="2">
        <v>5.67</v>
      </c>
      <c r="H236" s="8" t="str">
        <f t="shared" si="6"/>
        <v>km/kwh</v>
      </c>
      <c r="I236" s="2" cm="1">
        <f t="array" ref="I236">_xlfn.IFS(D236="GASOLINA",24,D236="HIBRIDO",24,D236="ELÉCTRICO",5,D236="DIESEL",27)</f>
        <v>5</v>
      </c>
      <c r="J236" s="2">
        <v>0</v>
      </c>
      <c r="K236" s="2">
        <v>0</v>
      </c>
      <c r="L236" s="2">
        <v>0</v>
      </c>
      <c r="M236" s="3" t="s">
        <v>89</v>
      </c>
      <c r="N236" s="6" t="s">
        <v>10</v>
      </c>
    </row>
    <row r="237" spans="1:14">
      <c r="A237" s="4">
        <v>1235</v>
      </c>
      <c r="B237" s="5" t="s">
        <v>267</v>
      </c>
      <c r="C237" s="5" t="s">
        <v>260</v>
      </c>
      <c r="D237" s="5" t="s">
        <v>1</v>
      </c>
      <c r="E237" s="1">
        <v>9.9</v>
      </c>
      <c r="F237" s="1">
        <v>15.2</v>
      </c>
      <c r="G237" s="1">
        <v>11.7</v>
      </c>
      <c r="H237" s="8" t="str">
        <f t="shared" si="6"/>
        <v>km/l</v>
      </c>
      <c r="I237" s="2" cm="1">
        <f t="array" ref="I237">_xlfn.IFS(D237="GASOLINA",24,D237="HIBRIDO",24,D237="ELÉCTRICO",5,D237="DIESEL",27)</f>
        <v>24</v>
      </c>
      <c r="J237" s="1">
        <v>236</v>
      </c>
      <c r="K237" s="1">
        <v>154</v>
      </c>
      <c r="L237" s="1">
        <v>199</v>
      </c>
      <c r="M237" t="s">
        <v>40</v>
      </c>
      <c r="N237" s="5" t="s">
        <v>10</v>
      </c>
    </row>
    <row r="238" spans="1:14">
      <c r="A238" s="4">
        <v>1236</v>
      </c>
      <c r="B238" s="5" t="s">
        <v>267</v>
      </c>
      <c r="C238" s="5" t="s">
        <v>261</v>
      </c>
      <c r="D238" s="5" t="s">
        <v>1</v>
      </c>
      <c r="E238" s="1">
        <v>9.9</v>
      </c>
      <c r="F238" s="1">
        <v>15.2</v>
      </c>
      <c r="G238" s="1">
        <v>11.7</v>
      </c>
      <c r="H238" s="8" t="str">
        <f t="shared" si="6"/>
        <v>km/l</v>
      </c>
      <c r="I238" s="2" cm="1">
        <f t="array" ref="I238">_xlfn.IFS(D238="GASOLINA",24,D238="HIBRIDO",24,D238="ELÉCTRICO",5,D238="DIESEL",27)</f>
        <v>24</v>
      </c>
      <c r="J238" s="1">
        <v>245</v>
      </c>
      <c r="K238" s="1">
        <v>161</v>
      </c>
      <c r="L238" s="1">
        <v>207</v>
      </c>
      <c r="M238" t="s">
        <v>40</v>
      </c>
      <c r="N238" s="5" t="s">
        <v>10</v>
      </c>
    </row>
    <row r="239" spans="1:14">
      <c r="A239" s="4">
        <v>1237</v>
      </c>
      <c r="B239" s="5" t="s">
        <v>267</v>
      </c>
      <c r="C239" s="5" t="s">
        <v>262</v>
      </c>
      <c r="D239" s="5" t="s">
        <v>1</v>
      </c>
      <c r="E239" s="1">
        <v>9.64</v>
      </c>
      <c r="F239" s="1">
        <v>14.25</v>
      </c>
      <c r="G239" s="1">
        <v>11.288307</v>
      </c>
      <c r="H239" s="8" t="str">
        <f t="shared" si="6"/>
        <v>km/l</v>
      </c>
      <c r="I239" s="2" cm="1">
        <f t="array" ref="I239">_xlfn.IFS(D239="GASOLINA",24,D239="HIBRIDO",24,D239="ELÉCTRICO",5,D239="DIESEL",27)</f>
        <v>24</v>
      </c>
      <c r="J239" s="1">
        <v>243</v>
      </c>
      <c r="K239" s="1">
        <v>164</v>
      </c>
      <c r="L239" s="1">
        <v>207</v>
      </c>
      <c r="M239" t="s">
        <v>40</v>
      </c>
      <c r="N239" s="5" t="s">
        <v>10</v>
      </c>
    </row>
    <row r="240" spans="1:14">
      <c r="A240" s="4">
        <v>1238</v>
      </c>
      <c r="B240" s="5" t="s">
        <v>267</v>
      </c>
      <c r="C240" s="5" t="s">
        <v>263</v>
      </c>
      <c r="D240" s="5" t="s">
        <v>1</v>
      </c>
      <c r="E240" s="1">
        <v>9.31677</v>
      </c>
      <c r="F240" s="1">
        <v>14.0214</v>
      </c>
      <c r="G240" s="1">
        <v>10.973675</v>
      </c>
      <c r="H240" s="8" t="str">
        <f t="shared" si="6"/>
        <v>km/l</v>
      </c>
      <c r="I240" s="2" cm="1">
        <f t="array" ref="I240">_xlfn.IFS(D240="GASOLINA",24,D240="HIBRIDO",24,D240="ELÉCTRICO",5,D240="DIESEL",27)</f>
        <v>24</v>
      </c>
      <c r="J240" s="1">
        <v>251</v>
      </c>
      <c r="K240" s="1">
        <v>167</v>
      </c>
      <c r="L240" s="1">
        <v>213</v>
      </c>
      <c r="M240" t="s">
        <v>40</v>
      </c>
      <c r="N240" s="5" t="s">
        <v>10</v>
      </c>
    </row>
    <row r="241" spans="1:14">
      <c r="A241" s="4">
        <v>1239</v>
      </c>
      <c r="B241" s="5" t="s">
        <v>267</v>
      </c>
      <c r="C241" s="5" t="s">
        <v>264</v>
      </c>
      <c r="D241" s="5" t="s">
        <v>1</v>
      </c>
      <c r="E241" s="1">
        <v>13.82</v>
      </c>
      <c r="F241" s="1">
        <v>15.04</v>
      </c>
      <c r="G241" s="1">
        <v>13.734047</v>
      </c>
      <c r="H241" s="8" t="str">
        <f t="shared" si="6"/>
        <v>km/l</v>
      </c>
      <c r="I241" s="2" cm="1">
        <f t="array" ref="I241">_xlfn.IFS(D241="GASOLINA",24,D241="HIBRIDO",24,D241="ELÉCTRICO",5,D241="DIESEL",27)</f>
        <v>24</v>
      </c>
      <c r="J241" s="1">
        <v>169</v>
      </c>
      <c r="K241" s="1">
        <v>155</v>
      </c>
      <c r="L241" s="1">
        <v>170</v>
      </c>
      <c r="M241" t="s">
        <v>40</v>
      </c>
      <c r="N241" s="5" t="s">
        <v>10</v>
      </c>
    </row>
    <row r="242" spans="1:14">
      <c r="A242" s="4">
        <v>1240</v>
      </c>
      <c r="B242" s="5" t="s">
        <v>267</v>
      </c>
      <c r="C242" s="5" t="s">
        <v>265</v>
      </c>
      <c r="D242" s="5" t="s">
        <v>1</v>
      </c>
      <c r="E242" s="1">
        <v>13.2036</v>
      </c>
      <c r="F242" s="1">
        <v>14.443300000000001</v>
      </c>
      <c r="G242" s="1">
        <v>13.734047</v>
      </c>
      <c r="H242" s="8" t="str">
        <f t="shared" si="6"/>
        <v>km/l</v>
      </c>
      <c r="I242" s="2" cm="1">
        <f t="array" ref="I242">_xlfn.IFS(D242="GASOLINA",24,D242="HIBRIDO",24,D242="ELÉCTRICO",5,D242="DIESEL",27)</f>
        <v>24</v>
      </c>
      <c r="J242" s="1">
        <v>177</v>
      </c>
      <c r="K242" s="1">
        <v>162</v>
      </c>
      <c r="L242" s="1">
        <v>170</v>
      </c>
      <c r="M242" t="s">
        <v>40</v>
      </c>
      <c r="N242" s="5" t="s">
        <v>10</v>
      </c>
    </row>
    <row r="243" spans="1:14">
      <c r="A243" s="4">
        <v>1241</v>
      </c>
      <c r="B243" s="5" t="s">
        <v>267</v>
      </c>
      <c r="C243" s="5" t="s">
        <v>266</v>
      </c>
      <c r="D243" s="5" t="s">
        <v>1</v>
      </c>
      <c r="E243" s="1">
        <v>8.6669300000000007</v>
      </c>
      <c r="F243" s="1">
        <v>13.395300000000001</v>
      </c>
      <c r="G243" s="1">
        <v>10.303591000000001</v>
      </c>
      <c r="H243" s="8" t="str">
        <f t="shared" si="6"/>
        <v>km/l</v>
      </c>
      <c r="I243" s="2" cm="1">
        <f t="array" ref="I243">_xlfn.IFS(D243="GASOLINA",24,D243="HIBRIDO",24,D243="ELÉCTRICO",5,D243="DIESEL",27)</f>
        <v>24</v>
      </c>
      <c r="J243" s="1">
        <v>270</v>
      </c>
      <c r="K243" s="1">
        <v>175</v>
      </c>
      <c r="L243" s="1">
        <v>227</v>
      </c>
      <c r="M243" t="s">
        <v>230</v>
      </c>
      <c r="N243" s="5" t="s">
        <v>10</v>
      </c>
    </row>
    <row r="244" spans="1:14">
      <c r="A244" s="4">
        <v>1242</v>
      </c>
      <c r="B244" s="5" t="s">
        <v>274</v>
      </c>
      <c r="C244" s="5" t="s">
        <v>269</v>
      </c>
      <c r="D244" s="5" t="s">
        <v>1</v>
      </c>
      <c r="E244" s="1">
        <v>15.47</v>
      </c>
      <c r="F244" s="1">
        <v>22.25</v>
      </c>
      <c r="G244" s="1">
        <v>17.920000000000002</v>
      </c>
      <c r="H244" s="8" t="str">
        <f t="shared" si="6"/>
        <v>km/l</v>
      </c>
      <c r="I244" s="2" cm="1">
        <f t="array" ref="I244">_xlfn.IFS(D244="GASOLINA",24,D244="HIBRIDO",24,D244="ELÉCTRICO",5,D244="DIESEL",27)</f>
        <v>24</v>
      </c>
      <c r="J244" s="1">
        <v>156</v>
      </c>
      <c r="K244" s="1">
        <v>108</v>
      </c>
      <c r="L244" s="1">
        <v>134</v>
      </c>
      <c r="M244" t="s">
        <v>237</v>
      </c>
      <c r="N244" s="5" t="s">
        <v>4</v>
      </c>
    </row>
    <row r="245" spans="1:14">
      <c r="A245" s="4">
        <v>1243</v>
      </c>
      <c r="B245" s="5" t="s">
        <v>274</v>
      </c>
      <c r="C245" s="5" t="s">
        <v>270</v>
      </c>
      <c r="D245" s="5" t="s">
        <v>17</v>
      </c>
      <c r="E245" s="1">
        <v>20.3</v>
      </c>
      <c r="F245" s="1">
        <v>23.7</v>
      </c>
      <c r="G245" s="1">
        <v>21.7</v>
      </c>
      <c r="H245" s="8" t="str">
        <f t="shared" si="6"/>
        <v>km/l</v>
      </c>
      <c r="I245" s="2" cm="1">
        <f t="array" ref="I245">_xlfn.IFS(D245="GASOLINA",24,D245="HIBRIDO",24,D245="ELÉCTRICO",5,D245="DIESEL",27)</f>
        <v>24</v>
      </c>
      <c r="J245" s="1">
        <v>118</v>
      </c>
      <c r="K245" s="1">
        <v>101</v>
      </c>
      <c r="L245" s="1">
        <v>110</v>
      </c>
      <c r="M245" t="s">
        <v>237</v>
      </c>
      <c r="N245" s="5" t="s">
        <v>18</v>
      </c>
    </row>
    <row r="246" spans="1:14">
      <c r="A246" s="4">
        <v>1244</v>
      </c>
      <c r="B246" s="5" t="s">
        <v>274</v>
      </c>
      <c r="C246" s="5" t="s">
        <v>271</v>
      </c>
      <c r="D246" s="5" t="s">
        <v>15</v>
      </c>
      <c r="E246" s="1">
        <v>8.4700000000000006</v>
      </c>
      <c r="F246" s="1">
        <v>8.4700000000000006</v>
      </c>
      <c r="G246" s="1">
        <v>8.4700000000000006</v>
      </c>
      <c r="H246" s="8" t="str">
        <f t="shared" si="6"/>
        <v>km/kwh</v>
      </c>
      <c r="I246" s="2" cm="1">
        <f t="array" ref="I246">_xlfn.IFS(D246="GASOLINA",24,D246="HIBRIDO",24,D246="ELÉCTRICO",5,D246="DIESEL",27)</f>
        <v>5</v>
      </c>
      <c r="J246" s="1">
        <v>0</v>
      </c>
      <c r="K246" s="1">
        <v>0</v>
      </c>
      <c r="L246" s="1">
        <v>0</v>
      </c>
      <c r="M246" t="s">
        <v>89</v>
      </c>
      <c r="N246" s="5" t="s">
        <v>10</v>
      </c>
    </row>
    <row r="247" spans="1:14">
      <c r="A247" s="4">
        <v>1245</v>
      </c>
      <c r="B247" s="5" t="s">
        <v>274</v>
      </c>
      <c r="C247" s="5" t="s">
        <v>272</v>
      </c>
      <c r="D247" s="5" t="s">
        <v>1</v>
      </c>
      <c r="E247" s="1">
        <v>16.25</v>
      </c>
      <c r="F247" s="1">
        <v>23.52</v>
      </c>
      <c r="G247" s="1">
        <v>18.88</v>
      </c>
      <c r="H247" s="8" t="str">
        <f t="shared" si="6"/>
        <v>km/l</v>
      </c>
      <c r="I247" s="2" cm="1">
        <f t="array" ref="I247">_xlfn.IFS(D247="GASOLINA",24,D247="HIBRIDO",24,D247="ELÉCTRICO",5,D247="DIESEL",27)</f>
        <v>24</v>
      </c>
      <c r="J247" s="1">
        <v>142</v>
      </c>
      <c r="K247" s="1">
        <v>98</v>
      </c>
      <c r="L247" s="1">
        <v>122</v>
      </c>
      <c r="M247" t="s">
        <v>237</v>
      </c>
      <c r="N247" s="5" t="s">
        <v>2</v>
      </c>
    </row>
    <row r="248" spans="1:14">
      <c r="A248" s="4">
        <v>1246</v>
      </c>
      <c r="B248" s="5" t="s">
        <v>274</v>
      </c>
      <c r="C248" s="5" t="s">
        <v>273</v>
      </c>
      <c r="D248" s="5" t="s">
        <v>1</v>
      </c>
      <c r="E248" s="1">
        <v>14.3</v>
      </c>
      <c r="F248" s="1">
        <v>20.12</v>
      </c>
      <c r="G248" s="1">
        <v>16.440000000000001</v>
      </c>
      <c r="H248" s="8" t="str">
        <f t="shared" si="6"/>
        <v>km/l</v>
      </c>
      <c r="I248" s="2" cm="1">
        <f t="array" ref="I248">_xlfn.IFS(D248="GASOLINA",24,D248="HIBRIDO",24,D248="ELÉCTRICO",5,D248="DIESEL",27)</f>
        <v>24</v>
      </c>
      <c r="J248" s="1">
        <v>161</v>
      </c>
      <c r="K248" s="1">
        <v>115</v>
      </c>
      <c r="L248" s="1">
        <v>140</v>
      </c>
      <c r="M248" t="s">
        <v>237</v>
      </c>
      <c r="N248" s="5" t="s">
        <v>10</v>
      </c>
    </row>
    <row r="249" spans="1:14">
      <c r="A249" s="4">
        <v>1247</v>
      </c>
      <c r="B249" s="5" t="s">
        <v>275</v>
      </c>
      <c r="C249" s="5" t="s">
        <v>276</v>
      </c>
      <c r="D249" s="5" t="s">
        <v>1</v>
      </c>
      <c r="E249" s="1">
        <v>14.74</v>
      </c>
      <c r="F249" s="1">
        <v>18.73</v>
      </c>
      <c r="G249" s="1">
        <v>16.3</v>
      </c>
      <c r="H249" s="8" t="str">
        <f t="shared" ref="H249:H264" si="7">IF(D249="ELÉCTRICO","km/kwh",IF(OR(D249="GASOLINA",D249="HIBRIDO",D249="DIESEL"),"km/l","N/D"))</f>
        <v>km/l</v>
      </c>
      <c r="I249" s="2" cm="1">
        <f t="array" ref="I249">_xlfn.IFS(D249="GASOLINA",24,D249="HIBRIDO",24,D249="ELÉCTRICO",5,D249="DIESEL",27)</f>
        <v>24</v>
      </c>
      <c r="J249" s="1">
        <v>159</v>
      </c>
      <c r="K249" s="1">
        <v>125</v>
      </c>
      <c r="L249" s="1">
        <v>144</v>
      </c>
      <c r="M249" t="s">
        <v>34</v>
      </c>
      <c r="N249" s="5" t="s">
        <v>5</v>
      </c>
    </row>
    <row r="250" spans="1:14">
      <c r="A250" s="4">
        <v>1248</v>
      </c>
      <c r="B250" s="5" t="s">
        <v>275</v>
      </c>
      <c r="C250" s="5" t="s">
        <v>277</v>
      </c>
      <c r="D250" s="5" t="s">
        <v>1</v>
      </c>
      <c r="E250" s="1">
        <v>12.86</v>
      </c>
      <c r="F250" s="1">
        <v>16.75</v>
      </c>
      <c r="G250" s="1">
        <v>14.36</v>
      </c>
      <c r="H250" s="8" t="str">
        <f t="shared" si="7"/>
        <v>km/l</v>
      </c>
      <c r="I250" s="2" cm="1">
        <f t="array" ref="I250">_xlfn.IFS(D250="GASOLINA",24,D250="HIBRIDO",24,D250="ELÉCTRICO",5,D250="DIESEL",27)</f>
        <v>24</v>
      </c>
      <c r="J250" s="1">
        <v>182</v>
      </c>
      <c r="K250" s="1">
        <v>140</v>
      </c>
      <c r="L250" s="1">
        <v>163</v>
      </c>
      <c r="M250" t="s">
        <v>34</v>
      </c>
      <c r="N250" s="5" t="s">
        <v>10</v>
      </c>
    </row>
    <row r="251" spans="1:14">
      <c r="A251" s="4">
        <v>1249</v>
      </c>
      <c r="B251" s="5" t="s">
        <v>275</v>
      </c>
      <c r="C251" s="5" t="s">
        <v>278</v>
      </c>
      <c r="D251" s="5" t="s">
        <v>1</v>
      </c>
      <c r="E251" s="1">
        <v>12.86</v>
      </c>
      <c r="F251" s="1">
        <v>16.75</v>
      </c>
      <c r="G251" s="1">
        <v>14.36</v>
      </c>
      <c r="H251" s="8" t="str">
        <f t="shared" si="7"/>
        <v>km/l</v>
      </c>
      <c r="I251" s="2" cm="1">
        <f t="array" ref="I251">_xlfn.IFS(D251="GASOLINA",24,D251="HIBRIDO",24,D251="ELÉCTRICO",5,D251="DIESEL",27)</f>
        <v>24</v>
      </c>
      <c r="J251" s="1">
        <v>182</v>
      </c>
      <c r="K251" s="1">
        <v>140</v>
      </c>
      <c r="L251" s="1">
        <v>163</v>
      </c>
      <c r="M251" t="s">
        <v>34</v>
      </c>
      <c r="N251" s="5" t="s">
        <v>10</v>
      </c>
    </row>
    <row r="252" spans="1:14">
      <c r="A252" s="4">
        <v>1250</v>
      </c>
      <c r="B252" s="5" t="s">
        <v>275</v>
      </c>
      <c r="C252" s="5" t="s">
        <v>279</v>
      </c>
      <c r="D252" s="5" t="s">
        <v>1</v>
      </c>
      <c r="E252" s="1">
        <v>12.86</v>
      </c>
      <c r="F252" s="1">
        <v>16.75</v>
      </c>
      <c r="G252" s="1">
        <v>14.36</v>
      </c>
      <c r="H252" s="8" t="str">
        <f t="shared" si="7"/>
        <v>km/l</v>
      </c>
      <c r="I252" s="2" cm="1">
        <f t="array" ref="I252">_xlfn.IFS(D252="GASOLINA",24,D252="HIBRIDO",24,D252="ELÉCTRICO",5,D252="DIESEL",27)</f>
        <v>24</v>
      </c>
      <c r="J252" s="1">
        <v>182</v>
      </c>
      <c r="K252" s="1">
        <v>140</v>
      </c>
      <c r="L252" s="1">
        <v>163</v>
      </c>
      <c r="M252" t="s">
        <v>34</v>
      </c>
      <c r="N252" s="5" t="s">
        <v>10</v>
      </c>
    </row>
    <row r="253" spans="1:14">
      <c r="A253" s="4">
        <v>1251</v>
      </c>
      <c r="B253" s="5" t="s">
        <v>275</v>
      </c>
      <c r="C253" s="5" t="s">
        <v>280</v>
      </c>
      <c r="D253" s="5" t="s">
        <v>1</v>
      </c>
      <c r="E253" s="1">
        <v>10.6713</v>
      </c>
      <c r="F253" s="1">
        <v>15.03988</v>
      </c>
      <c r="G253" s="1">
        <v>12.275907</v>
      </c>
      <c r="H253" s="8" t="str">
        <f t="shared" si="7"/>
        <v>km/l</v>
      </c>
      <c r="I253" s="2" cm="1">
        <f t="array" ref="I253">_xlfn.IFS(D253="GASOLINA",24,D253="HIBRIDO",24,D253="ELÉCTRICO",5,D253="DIESEL",27)</f>
        <v>24</v>
      </c>
      <c r="J253" s="1">
        <v>220</v>
      </c>
      <c r="K253" s="1">
        <v>156</v>
      </c>
      <c r="L253" s="1">
        <v>191</v>
      </c>
      <c r="M253" t="s">
        <v>34</v>
      </c>
      <c r="N253" s="5" t="s">
        <v>10</v>
      </c>
    </row>
    <row r="254" spans="1:14">
      <c r="A254" s="4">
        <v>1252</v>
      </c>
      <c r="B254" s="5" t="s">
        <v>275</v>
      </c>
      <c r="C254" s="5" t="s">
        <v>281</v>
      </c>
      <c r="D254" s="5" t="s">
        <v>1</v>
      </c>
      <c r="E254" s="1">
        <v>10.6713</v>
      </c>
      <c r="F254" s="1">
        <v>15.03988</v>
      </c>
      <c r="G254" s="1">
        <v>12.275907</v>
      </c>
      <c r="H254" s="8" t="str">
        <f t="shared" si="7"/>
        <v>km/l</v>
      </c>
      <c r="I254" s="2" cm="1">
        <f t="array" ref="I254">_xlfn.IFS(D254="GASOLINA",24,D254="HIBRIDO",24,D254="ELÉCTRICO",5,D254="DIESEL",27)</f>
        <v>24</v>
      </c>
      <c r="J254" s="1">
        <v>220</v>
      </c>
      <c r="K254" s="1">
        <v>156</v>
      </c>
      <c r="L254" s="1">
        <v>191</v>
      </c>
      <c r="M254" t="s">
        <v>34</v>
      </c>
      <c r="N254" s="5" t="s">
        <v>10</v>
      </c>
    </row>
    <row r="255" spans="1:14">
      <c r="A255" s="4">
        <v>1253</v>
      </c>
      <c r="B255" s="5" t="s">
        <v>275</v>
      </c>
      <c r="C255" s="5" t="s">
        <v>282</v>
      </c>
      <c r="D255" s="5" t="s">
        <v>1</v>
      </c>
      <c r="E255" s="1">
        <v>8.9119600000000005</v>
      </c>
      <c r="F255" s="1">
        <v>12.00006</v>
      </c>
      <c r="G255" s="1">
        <v>10.079159000000001</v>
      </c>
      <c r="H255" s="8" t="str">
        <f t="shared" si="7"/>
        <v>km/l</v>
      </c>
      <c r="I255" s="2" cm="1">
        <f t="array" ref="I255">_xlfn.IFS(D255="GASOLINA",24,D255="HIBRIDO",24,D255="ELÉCTRICO",5,D255="DIESEL",27)</f>
        <v>24</v>
      </c>
      <c r="J255" s="1">
        <v>263</v>
      </c>
      <c r="K255" s="1">
        <v>195</v>
      </c>
      <c r="L255" s="1">
        <v>232</v>
      </c>
      <c r="M255" t="s">
        <v>34</v>
      </c>
      <c r="N255" s="5" t="s">
        <v>10</v>
      </c>
    </row>
    <row r="256" spans="1:14">
      <c r="A256" s="4">
        <v>1254</v>
      </c>
      <c r="B256" s="5" t="s">
        <v>275</v>
      </c>
      <c r="C256" s="5" t="s">
        <v>283</v>
      </c>
      <c r="D256" s="5" t="s">
        <v>1</v>
      </c>
      <c r="E256" s="1">
        <v>8.9119600000000005</v>
      </c>
      <c r="F256" s="1">
        <v>12.00006</v>
      </c>
      <c r="G256" s="1">
        <v>10.079159000000001</v>
      </c>
      <c r="H256" s="8" t="str">
        <f t="shared" si="7"/>
        <v>km/l</v>
      </c>
      <c r="I256" s="2" cm="1">
        <f t="array" ref="I256">_xlfn.IFS(D256="GASOLINA",24,D256="HIBRIDO",24,D256="ELÉCTRICO",5,D256="DIESEL",27)</f>
        <v>24</v>
      </c>
      <c r="J256" s="1">
        <v>263</v>
      </c>
      <c r="K256" s="1">
        <v>195</v>
      </c>
      <c r="L256" s="1">
        <v>232</v>
      </c>
      <c r="M256" t="s">
        <v>34</v>
      </c>
      <c r="N256" s="5" t="s">
        <v>10</v>
      </c>
    </row>
    <row r="257" spans="1:14">
      <c r="A257" s="4">
        <v>1255</v>
      </c>
      <c r="B257" s="5" t="s">
        <v>275</v>
      </c>
      <c r="C257" s="5" t="s">
        <v>284</v>
      </c>
      <c r="D257" s="5" t="s">
        <v>1</v>
      </c>
      <c r="E257" s="1">
        <v>8.5625300000000006</v>
      </c>
      <c r="F257" s="1">
        <v>12.63707</v>
      </c>
      <c r="G257" s="1">
        <v>10.015741</v>
      </c>
      <c r="H257" s="8" t="str">
        <f t="shared" si="7"/>
        <v>km/l</v>
      </c>
      <c r="I257" s="2" cm="1">
        <f t="array" ref="I257">_xlfn.IFS(D257="GASOLINA",24,D257="HIBRIDO",24,D257="ELÉCTRICO",5,D257="DIESEL",27)</f>
        <v>24</v>
      </c>
      <c r="J257" s="1">
        <v>274</v>
      </c>
      <c r="K257" s="1">
        <v>185</v>
      </c>
      <c r="L257" s="1">
        <v>234</v>
      </c>
      <c r="M257" t="s">
        <v>230</v>
      </c>
      <c r="N257" s="5" t="s">
        <v>10</v>
      </c>
    </row>
    <row r="258" spans="1:14">
      <c r="A258" s="4">
        <v>1256</v>
      </c>
      <c r="B258" s="5" t="s">
        <v>275</v>
      </c>
      <c r="C258" s="5" t="s">
        <v>285</v>
      </c>
      <c r="D258" s="5" t="s">
        <v>1</v>
      </c>
      <c r="E258" s="1">
        <v>8.5625300000000006</v>
      </c>
      <c r="F258" s="1">
        <v>12.63707</v>
      </c>
      <c r="G258" s="1">
        <v>10.015741</v>
      </c>
      <c r="H258" s="8" t="str">
        <f t="shared" si="7"/>
        <v>km/l</v>
      </c>
      <c r="I258" s="2" cm="1">
        <f t="array" ref="I258">_xlfn.IFS(D258="GASOLINA",24,D258="HIBRIDO",24,D258="ELÉCTRICO",5,D258="DIESEL",27)</f>
        <v>24</v>
      </c>
      <c r="J258" s="1">
        <v>274</v>
      </c>
      <c r="K258" s="1">
        <v>185</v>
      </c>
      <c r="L258" s="1">
        <v>234</v>
      </c>
      <c r="M258" t="s">
        <v>230</v>
      </c>
      <c r="N258" s="5" t="s">
        <v>10</v>
      </c>
    </row>
    <row r="259" spans="1:14">
      <c r="A259" s="4">
        <v>1257</v>
      </c>
      <c r="B259" s="5" t="s">
        <v>275</v>
      </c>
      <c r="C259" s="5" t="s">
        <v>286</v>
      </c>
      <c r="D259" s="5" t="s">
        <v>1</v>
      </c>
      <c r="E259" s="1">
        <v>7.67842</v>
      </c>
      <c r="F259" s="1">
        <v>12.082129999999999</v>
      </c>
      <c r="G259" s="1">
        <v>9.1848924000000007</v>
      </c>
      <c r="H259" s="8" t="str">
        <f t="shared" si="7"/>
        <v>km/l</v>
      </c>
      <c r="I259" s="2" cm="1">
        <f t="array" ref="I259">_xlfn.IFS(D259="GASOLINA",24,D259="HIBRIDO",24,D259="ELÉCTRICO",5,D259="DIESEL",27)</f>
        <v>24</v>
      </c>
      <c r="J259" s="1">
        <v>305</v>
      </c>
      <c r="K259" s="1">
        <v>194</v>
      </c>
      <c r="L259" s="1">
        <v>255</v>
      </c>
      <c r="M259" t="s">
        <v>230</v>
      </c>
      <c r="N259" s="5" t="s">
        <v>10</v>
      </c>
    </row>
    <row r="260" spans="1:14">
      <c r="A260" s="4">
        <v>1258</v>
      </c>
      <c r="B260" s="5" t="s">
        <v>275</v>
      </c>
      <c r="C260" s="5" t="s">
        <v>287</v>
      </c>
      <c r="D260" s="5" t="s">
        <v>1</v>
      </c>
      <c r="E260" s="1">
        <v>7.67842</v>
      </c>
      <c r="F260" s="1">
        <v>12.082129999999999</v>
      </c>
      <c r="G260" s="1">
        <v>9.1848924000000007</v>
      </c>
      <c r="H260" s="8" t="str">
        <f t="shared" si="7"/>
        <v>km/l</v>
      </c>
      <c r="I260" s="2" cm="1">
        <f t="array" ref="I260">_xlfn.IFS(D260="GASOLINA",24,D260="HIBRIDO",24,D260="ELÉCTRICO",5,D260="DIESEL",27)</f>
        <v>24</v>
      </c>
      <c r="J260" s="1">
        <v>305</v>
      </c>
      <c r="K260" s="1">
        <v>194</v>
      </c>
      <c r="L260" s="1">
        <v>255</v>
      </c>
      <c r="M260" t="s">
        <v>230</v>
      </c>
      <c r="N260" s="5" t="s">
        <v>10</v>
      </c>
    </row>
    <row r="261" spans="1:14">
      <c r="A261" s="4">
        <v>1259</v>
      </c>
      <c r="B261" s="5" t="s">
        <v>275</v>
      </c>
      <c r="C261" s="5" t="s">
        <v>288</v>
      </c>
      <c r="D261" s="5" t="s">
        <v>15</v>
      </c>
      <c r="E261" s="1">
        <v>2.82</v>
      </c>
      <c r="F261" s="1">
        <v>2.82</v>
      </c>
      <c r="G261" s="1">
        <v>2.82</v>
      </c>
      <c r="H261" s="8" t="str">
        <f t="shared" si="7"/>
        <v>km/kwh</v>
      </c>
      <c r="I261" s="2" cm="1">
        <f t="array" ref="I261">_xlfn.IFS(D261="GASOLINA",24,D261="HIBRIDO",24,D261="ELÉCTRICO",5,D261="DIESEL",27)</f>
        <v>5</v>
      </c>
      <c r="J261" s="1">
        <v>0</v>
      </c>
      <c r="K261" s="1">
        <v>0</v>
      </c>
      <c r="L261" s="1">
        <v>0</v>
      </c>
      <c r="M261" t="s">
        <v>89</v>
      </c>
      <c r="N261" s="5" t="s">
        <v>489</v>
      </c>
    </row>
    <row r="262" spans="1:14">
      <c r="A262" s="4">
        <v>1260</v>
      </c>
      <c r="B262" s="5" t="s">
        <v>275</v>
      </c>
      <c r="C262" s="5" t="s">
        <v>291</v>
      </c>
      <c r="D262" s="5" t="s">
        <v>15</v>
      </c>
      <c r="E262" s="1">
        <v>2.7</v>
      </c>
      <c r="F262" s="1">
        <v>2.7</v>
      </c>
      <c r="G262" s="1">
        <v>2.7</v>
      </c>
      <c r="H262" s="8" t="str">
        <f t="shared" si="7"/>
        <v>km/kwh</v>
      </c>
      <c r="I262" s="2" cm="1">
        <f t="array" ref="I262">_xlfn.IFS(D262="GASOLINA",24,D262="HIBRIDO",24,D262="ELÉCTRICO",5,D262="DIESEL",27)</f>
        <v>5</v>
      </c>
      <c r="J262" s="1">
        <v>0</v>
      </c>
      <c r="K262" s="1">
        <v>0</v>
      </c>
      <c r="L262" s="1">
        <v>0</v>
      </c>
      <c r="M262" t="s">
        <v>89</v>
      </c>
      <c r="N262" s="5" t="s">
        <v>489</v>
      </c>
    </row>
    <row r="263" spans="1:14">
      <c r="A263" s="4">
        <v>1261</v>
      </c>
      <c r="B263" s="5" t="s">
        <v>275</v>
      </c>
      <c r="C263" s="5" t="s">
        <v>289</v>
      </c>
      <c r="D263" s="5" t="s">
        <v>1</v>
      </c>
      <c r="E263" s="1">
        <v>7.71814</v>
      </c>
      <c r="F263" s="1">
        <v>11.57075</v>
      </c>
      <c r="G263" s="1">
        <v>9.0783743999999995</v>
      </c>
      <c r="H263" s="8" t="str">
        <f t="shared" si="7"/>
        <v>km/l</v>
      </c>
      <c r="I263" s="2" cm="1">
        <f t="array" ref="I263">_xlfn.IFS(D263="GASOLINA",24,D263="HIBRIDO",24,D263="ELÉCTRICO",5,D263="DIESEL",27)</f>
        <v>24</v>
      </c>
      <c r="J263" s="1">
        <v>304</v>
      </c>
      <c r="K263" s="1">
        <v>202</v>
      </c>
      <c r="L263" s="1">
        <v>258</v>
      </c>
      <c r="M263" t="s">
        <v>230</v>
      </c>
      <c r="N263" s="5" t="s">
        <v>10</v>
      </c>
    </row>
    <row r="264" spans="1:14">
      <c r="A264" s="4">
        <v>1262</v>
      </c>
      <c r="B264" s="5" t="s">
        <v>275</v>
      </c>
      <c r="C264" s="5" t="s">
        <v>290</v>
      </c>
      <c r="D264" s="5" t="s">
        <v>1</v>
      </c>
      <c r="E264" s="1">
        <v>7.71814</v>
      </c>
      <c r="F264" s="1">
        <v>11.57075</v>
      </c>
      <c r="G264" s="1">
        <v>9.0783743999999995</v>
      </c>
      <c r="H264" s="8" t="str">
        <f t="shared" si="7"/>
        <v>km/l</v>
      </c>
      <c r="I264" s="2" cm="1">
        <f t="array" ref="I264">_xlfn.IFS(D264="GASOLINA",24,D264="HIBRIDO",24,D264="ELÉCTRICO",5,D264="DIESEL",27)</f>
        <v>24</v>
      </c>
      <c r="J264" s="1">
        <v>304</v>
      </c>
      <c r="K264" s="1">
        <v>202</v>
      </c>
      <c r="L264" s="1">
        <v>258</v>
      </c>
      <c r="M264" t="s">
        <v>230</v>
      </c>
      <c r="N264" s="5" t="s">
        <v>10</v>
      </c>
    </row>
    <row r="265" spans="1:14">
      <c r="A265" s="4">
        <v>1263</v>
      </c>
      <c r="B265" s="5" t="s">
        <v>307</v>
      </c>
      <c r="C265" s="5" t="s">
        <v>292</v>
      </c>
      <c r="D265" s="5" t="s">
        <v>1</v>
      </c>
      <c r="E265" s="1">
        <v>26.8</v>
      </c>
      <c r="F265" s="1">
        <v>25.2</v>
      </c>
      <c r="G265" s="1">
        <v>26.1</v>
      </c>
      <c r="H265" s="8" t="str">
        <f t="shared" ref="H265:H291" si="8">IF(D265="ELÉCTRICO","km/kwh",IF(OR(D265="GASOLINA",D265="HIBRIDO",D265="DIESEL"),"km/l","N/D"))</f>
        <v>km/l</v>
      </c>
      <c r="I265" s="2" cm="1">
        <f t="array" ref="I265">_xlfn.IFS(D265="GASOLINA",24,D265="HIBRIDO",24,D265="ELÉCTRICO",5,D265="DIESEL",27)</f>
        <v>24</v>
      </c>
      <c r="J265" s="1">
        <v>87</v>
      </c>
      <c r="K265" s="1">
        <v>92</v>
      </c>
      <c r="L265" s="1">
        <v>89</v>
      </c>
      <c r="M265" t="s">
        <v>34</v>
      </c>
      <c r="N265" s="5" t="s">
        <v>5</v>
      </c>
    </row>
    <row r="266" spans="1:14">
      <c r="A266" s="4">
        <v>1264</v>
      </c>
      <c r="B266" s="5" t="s">
        <v>307</v>
      </c>
      <c r="C266" s="5" t="s">
        <v>293</v>
      </c>
      <c r="D266" s="5" t="s">
        <v>1</v>
      </c>
      <c r="E266" s="1">
        <v>17</v>
      </c>
      <c r="F266" s="1">
        <v>23.5</v>
      </c>
      <c r="G266" s="1">
        <v>19.899999999999999</v>
      </c>
      <c r="H266" s="8" t="str">
        <f t="shared" si="8"/>
        <v>km/l</v>
      </c>
      <c r="I266" s="2" cm="1">
        <f t="array" ref="I266">_xlfn.IFS(D266="GASOLINA",24,D266="HIBRIDO",24,D266="ELÉCTRICO",5,D266="DIESEL",27)</f>
        <v>24</v>
      </c>
      <c r="J266" s="1">
        <v>136</v>
      </c>
      <c r="K266" s="1">
        <v>99</v>
      </c>
      <c r="L266" s="1">
        <v>116</v>
      </c>
      <c r="M266" t="s">
        <v>34</v>
      </c>
      <c r="N266" s="5" t="s">
        <v>5</v>
      </c>
    </row>
    <row r="267" spans="1:14">
      <c r="A267" s="4">
        <v>1265</v>
      </c>
      <c r="B267" s="5" t="s">
        <v>307</v>
      </c>
      <c r="C267" s="5" t="s">
        <v>294</v>
      </c>
      <c r="D267" s="5" t="s">
        <v>1</v>
      </c>
      <c r="E267" s="1">
        <v>16</v>
      </c>
      <c r="F267" s="1">
        <v>18.8</v>
      </c>
      <c r="G267" s="1">
        <v>17.3</v>
      </c>
      <c r="H267" s="8" t="str">
        <f t="shared" si="8"/>
        <v>km/l</v>
      </c>
      <c r="I267" s="2" cm="1">
        <f t="array" ref="I267">_xlfn.IFS(D267="GASOLINA",24,D267="HIBRIDO",24,D267="ELÉCTRICO",5,D267="DIESEL",27)</f>
        <v>24</v>
      </c>
      <c r="J267" s="1">
        <v>145</v>
      </c>
      <c r="K267" s="1">
        <v>124</v>
      </c>
      <c r="L267" s="1">
        <v>132</v>
      </c>
      <c r="M267" t="s">
        <v>34</v>
      </c>
      <c r="N267" s="5" t="s">
        <v>5</v>
      </c>
    </row>
    <row r="268" spans="1:14">
      <c r="A268" s="4">
        <v>1266</v>
      </c>
      <c r="B268" s="5" t="s">
        <v>307</v>
      </c>
      <c r="C268" s="5" t="s">
        <v>295</v>
      </c>
      <c r="D268" s="5" t="s">
        <v>1</v>
      </c>
      <c r="E268" s="1">
        <v>16</v>
      </c>
      <c r="F268" s="1">
        <v>18.8</v>
      </c>
      <c r="G268" s="1">
        <v>17.3</v>
      </c>
      <c r="H268" s="8" t="str">
        <f t="shared" si="8"/>
        <v>km/l</v>
      </c>
      <c r="I268" s="2" cm="1">
        <f t="array" ref="I268">_xlfn.IFS(D268="GASOLINA",24,D268="HIBRIDO",24,D268="ELÉCTRICO",5,D268="DIESEL",27)</f>
        <v>24</v>
      </c>
      <c r="J268" s="1">
        <v>145</v>
      </c>
      <c r="K268" s="1">
        <v>124</v>
      </c>
      <c r="L268" s="1">
        <v>132</v>
      </c>
      <c r="M268" t="s">
        <v>34</v>
      </c>
      <c r="N268" s="5" t="s">
        <v>5</v>
      </c>
    </row>
    <row r="269" spans="1:14">
      <c r="A269" s="4">
        <v>1267</v>
      </c>
      <c r="B269" s="5" t="s">
        <v>307</v>
      </c>
      <c r="C269" s="5" t="s">
        <v>296</v>
      </c>
      <c r="D269" s="5" t="s">
        <v>1</v>
      </c>
      <c r="E269" s="1">
        <v>18.100000000000001</v>
      </c>
      <c r="F269" s="1">
        <v>24.1</v>
      </c>
      <c r="G269" s="1">
        <v>20.8</v>
      </c>
      <c r="H269" s="8" t="str">
        <f t="shared" si="8"/>
        <v>km/l</v>
      </c>
      <c r="I269" s="2" cm="1">
        <f t="array" ref="I269">_xlfn.IFS(D269="GASOLINA",24,D269="HIBRIDO",24,D269="ELÉCTRICO",5,D269="DIESEL",27)</f>
        <v>24</v>
      </c>
      <c r="J269" s="1">
        <v>128</v>
      </c>
      <c r="K269" s="1">
        <v>96</v>
      </c>
      <c r="L269" s="1">
        <v>111</v>
      </c>
      <c r="M269" t="s">
        <v>34</v>
      </c>
      <c r="N269" s="5" t="s">
        <v>5</v>
      </c>
    </row>
    <row r="270" spans="1:14">
      <c r="A270" s="4">
        <v>1268</v>
      </c>
      <c r="B270" s="5" t="s">
        <v>307</v>
      </c>
      <c r="C270" s="5" t="s">
        <v>297</v>
      </c>
      <c r="D270" s="5" t="s">
        <v>1</v>
      </c>
      <c r="E270" s="1">
        <v>18.100000000000001</v>
      </c>
      <c r="F270" s="1">
        <v>24.1</v>
      </c>
      <c r="G270" s="1">
        <v>20.8</v>
      </c>
      <c r="H270" s="8" t="str">
        <f t="shared" si="8"/>
        <v>km/l</v>
      </c>
      <c r="I270" s="2" cm="1">
        <f t="array" ref="I270">_xlfn.IFS(D270="GASOLINA",24,D270="HIBRIDO",24,D270="ELÉCTRICO",5,D270="DIESEL",27)</f>
        <v>24</v>
      </c>
      <c r="J270" s="1">
        <v>128</v>
      </c>
      <c r="K270" s="1">
        <v>96</v>
      </c>
      <c r="L270" s="1">
        <v>111</v>
      </c>
      <c r="M270" t="s">
        <v>34</v>
      </c>
      <c r="N270" s="5" t="s">
        <v>5</v>
      </c>
    </row>
    <row r="271" spans="1:14">
      <c r="A271" s="4">
        <v>1269</v>
      </c>
      <c r="B271" s="5" t="s">
        <v>307</v>
      </c>
      <c r="C271" s="5" t="s">
        <v>298</v>
      </c>
      <c r="D271" s="5" t="s">
        <v>1</v>
      </c>
      <c r="E271" s="1">
        <v>18.100000000000001</v>
      </c>
      <c r="F271" s="1">
        <v>24.1</v>
      </c>
      <c r="G271" s="1">
        <v>20.8</v>
      </c>
      <c r="H271" s="8" t="str">
        <f t="shared" si="8"/>
        <v>km/l</v>
      </c>
      <c r="I271" s="2" cm="1">
        <f t="array" ref="I271">_xlfn.IFS(D271="GASOLINA",24,D271="HIBRIDO",24,D271="ELÉCTRICO",5,D271="DIESEL",27)</f>
        <v>24</v>
      </c>
      <c r="J271" s="1">
        <v>128</v>
      </c>
      <c r="K271" s="1">
        <v>96</v>
      </c>
      <c r="L271" s="1">
        <v>111</v>
      </c>
      <c r="M271" t="s">
        <v>34</v>
      </c>
      <c r="N271" s="5" t="s">
        <v>5</v>
      </c>
    </row>
    <row r="272" spans="1:14">
      <c r="A272" s="4">
        <v>1270</v>
      </c>
      <c r="B272" s="5" t="s">
        <v>307</v>
      </c>
      <c r="C272" s="5" t="s">
        <v>292</v>
      </c>
      <c r="D272" s="5" t="s">
        <v>1</v>
      </c>
      <c r="E272" s="1">
        <v>30.9</v>
      </c>
      <c r="F272" s="1">
        <v>28.6</v>
      </c>
      <c r="G272" s="1">
        <v>29.8</v>
      </c>
      <c r="H272" s="8" t="str">
        <f t="shared" si="8"/>
        <v>km/l</v>
      </c>
      <c r="I272" s="2" cm="1">
        <f t="array" ref="I272">_xlfn.IFS(D272="GASOLINA",24,D272="HIBRIDO",24,D272="ELÉCTRICO",5,D272="DIESEL",27)</f>
        <v>24</v>
      </c>
      <c r="J272" s="1">
        <v>76</v>
      </c>
      <c r="K272" s="1">
        <v>82</v>
      </c>
      <c r="L272" s="1">
        <v>78.5</v>
      </c>
      <c r="M272" t="s">
        <v>34</v>
      </c>
      <c r="N272" s="5" t="s">
        <v>299</v>
      </c>
    </row>
    <row r="273" spans="1:14">
      <c r="A273" s="4">
        <v>1271</v>
      </c>
      <c r="B273" s="5" t="s">
        <v>307</v>
      </c>
      <c r="C273" s="5" t="s">
        <v>300</v>
      </c>
      <c r="D273" s="5" t="s">
        <v>1</v>
      </c>
      <c r="E273" s="1">
        <v>16.2</v>
      </c>
      <c r="F273" s="1">
        <v>24.1</v>
      </c>
      <c r="G273" s="1">
        <v>20.100000000000001</v>
      </c>
      <c r="H273" s="8" t="str">
        <f t="shared" si="8"/>
        <v>km/l</v>
      </c>
      <c r="I273" s="2" cm="1">
        <f t="array" ref="I273">_xlfn.IFS(D273="GASOLINA",24,D273="HIBRIDO",24,D273="ELÉCTRICO",5,D273="DIESEL",27)</f>
        <v>24</v>
      </c>
      <c r="J273" s="1">
        <v>143</v>
      </c>
      <c r="K273" s="1">
        <v>95</v>
      </c>
      <c r="L273" s="1">
        <v>122.1</v>
      </c>
      <c r="M273" t="s">
        <v>34</v>
      </c>
      <c r="N273" s="5" t="s">
        <v>5</v>
      </c>
    </row>
    <row r="274" spans="1:14">
      <c r="A274" s="4">
        <v>1272</v>
      </c>
      <c r="B274" s="5" t="s">
        <v>307</v>
      </c>
      <c r="C274" s="5" t="s">
        <v>301</v>
      </c>
      <c r="D274" s="5" t="s">
        <v>1</v>
      </c>
      <c r="E274" s="1">
        <v>30.9</v>
      </c>
      <c r="F274" s="1">
        <v>28.6</v>
      </c>
      <c r="G274" s="1">
        <v>29.8</v>
      </c>
      <c r="H274" s="8" t="str">
        <f t="shared" si="8"/>
        <v>km/l</v>
      </c>
      <c r="I274" s="2" cm="1">
        <f t="array" ref="I274">_xlfn.IFS(D274="GASOLINA",24,D274="HIBRIDO",24,D274="ELÉCTRICO",5,D274="DIESEL",27)</f>
        <v>24</v>
      </c>
      <c r="J274" s="1">
        <v>76</v>
      </c>
      <c r="K274" s="1">
        <v>82</v>
      </c>
      <c r="L274" s="1">
        <v>78.5</v>
      </c>
      <c r="M274" t="s">
        <v>34</v>
      </c>
      <c r="N274" s="5" t="s">
        <v>299</v>
      </c>
    </row>
    <row r="275" spans="1:14">
      <c r="A275" s="4">
        <v>1273</v>
      </c>
      <c r="B275" s="5" t="s">
        <v>307</v>
      </c>
      <c r="C275" s="5" t="s">
        <v>302</v>
      </c>
      <c r="D275" s="5" t="s">
        <v>1</v>
      </c>
      <c r="E275" s="1">
        <v>14.6</v>
      </c>
      <c r="F275" s="1">
        <v>19.8</v>
      </c>
      <c r="G275" s="1">
        <v>16.600000000000001</v>
      </c>
      <c r="H275" s="8" t="str">
        <f t="shared" si="8"/>
        <v>km/l</v>
      </c>
      <c r="I275" s="2" cm="1">
        <f t="array" ref="I275">_xlfn.IFS(D275="GASOLINA",24,D275="HIBRIDO",24,D275="ELÉCTRICO",5,D275="DIESEL",27)</f>
        <v>24</v>
      </c>
      <c r="J275" s="1">
        <v>159</v>
      </c>
      <c r="K275" s="1">
        <v>117</v>
      </c>
      <c r="L275" s="1">
        <v>140</v>
      </c>
      <c r="M275" t="s">
        <v>34</v>
      </c>
      <c r="N275" s="5" t="s">
        <v>5</v>
      </c>
    </row>
    <row r="276" spans="1:14">
      <c r="A276" s="4">
        <v>1274</v>
      </c>
      <c r="B276" s="5" t="s">
        <v>307</v>
      </c>
      <c r="C276" s="5" t="s">
        <v>303</v>
      </c>
      <c r="D276" s="5" t="s">
        <v>1</v>
      </c>
      <c r="E276" s="1">
        <v>14.6</v>
      </c>
      <c r="F276" s="1">
        <v>19.8</v>
      </c>
      <c r="G276" s="1">
        <v>16.600000000000001</v>
      </c>
      <c r="H276" s="8" t="str">
        <f t="shared" si="8"/>
        <v>km/l</v>
      </c>
      <c r="I276" s="2" cm="1">
        <f t="array" ref="I276">_xlfn.IFS(D276="GASOLINA",24,D276="HIBRIDO",24,D276="ELÉCTRICO",5,D276="DIESEL",27)</f>
        <v>24</v>
      </c>
      <c r="J276" s="1">
        <v>159</v>
      </c>
      <c r="K276" s="1">
        <v>117</v>
      </c>
      <c r="L276" s="1">
        <v>140</v>
      </c>
      <c r="M276" t="s">
        <v>34</v>
      </c>
      <c r="N276" s="5" t="s">
        <v>5</v>
      </c>
    </row>
    <row r="277" spans="1:14">
      <c r="A277" s="4">
        <v>1275</v>
      </c>
      <c r="B277" s="5" t="s">
        <v>307</v>
      </c>
      <c r="C277" s="5" t="s">
        <v>304</v>
      </c>
      <c r="D277" s="5" t="s">
        <v>1</v>
      </c>
      <c r="E277" s="1">
        <v>24.4</v>
      </c>
      <c r="F277" s="1">
        <v>22.1</v>
      </c>
      <c r="G277" s="1">
        <v>23.3</v>
      </c>
      <c r="H277" s="8" t="str">
        <f t="shared" si="8"/>
        <v>km/l</v>
      </c>
      <c r="I277" s="2" cm="1">
        <f t="array" ref="I277">_xlfn.IFS(D277="GASOLINA",24,D277="HIBRIDO",24,D277="ELÉCTRICO",5,D277="DIESEL",27)</f>
        <v>24</v>
      </c>
      <c r="J277" s="1">
        <v>96</v>
      </c>
      <c r="K277" s="1">
        <v>105</v>
      </c>
      <c r="L277" s="1">
        <v>100</v>
      </c>
      <c r="M277" t="s">
        <v>34</v>
      </c>
      <c r="N277" s="5" t="s">
        <v>299</v>
      </c>
    </row>
    <row r="278" spans="1:14">
      <c r="A278" s="4">
        <v>1276</v>
      </c>
      <c r="B278" s="5" t="s">
        <v>307</v>
      </c>
      <c r="C278" s="5" t="s">
        <v>292</v>
      </c>
      <c r="D278" s="5" t="s">
        <v>1</v>
      </c>
      <c r="E278" s="1">
        <v>24.4</v>
      </c>
      <c r="F278" s="1">
        <v>22.1</v>
      </c>
      <c r="G278" s="1">
        <v>23.3</v>
      </c>
      <c r="H278" s="8" t="str">
        <f t="shared" si="8"/>
        <v>km/l</v>
      </c>
      <c r="I278" s="2" cm="1">
        <f t="array" ref="I278">_xlfn.IFS(D278="GASOLINA",24,D278="HIBRIDO",24,D278="ELÉCTRICO",5,D278="DIESEL",27)</f>
        <v>24</v>
      </c>
      <c r="J278" s="1">
        <v>96</v>
      </c>
      <c r="K278" s="1">
        <v>105</v>
      </c>
      <c r="L278" s="1">
        <v>100</v>
      </c>
      <c r="M278" t="s">
        <v>34</v>
      </c>
      <c r="N278" s="5" t="s">
        <v>299</v>
      </c>
    </row>
    <row r="279" spans="1:14">
      <c r="A279" s="4">
        <v>1277</v>
      </c>
      <c r="B279" s="5" t="s">
        <v>307</v>
      </c>
      <c r="C279" s="5" t="s">
        <v>294</v>
      </c>
      <c r="D279" s="5" t="s">
        <v>1</v>
      </c>
      <c r="E279" s="1">
        <v>14.6</v>
      </c>
      <c r="F279" s="1">
        <v>19.8</v>
      </c>
      <c r="G279" s="1">
        <v>16.600000000000001</v>
      </c>
      <c r="H279" s="8" t="str">
        <f t="shared" si="8"/>
        <v>km/l</v>
      </c>
      <c r="I279" s="2" cm="1">
        <f t="array" ref="I279">_xlfn.IFS(D279="GASOLINA",24,D279="HIBRIDO",24,D279="ELÉCTRICO",5,D279="DIESEL",27)</f>
        <v>24</v>
      </c>
      <c r="J279" s="1">
        <v>159</v>
      </c>
      <c r="K279" s="1">
        <v>117</v>
      </c>
      <c r="L279" s="1">
        <v>140</v>
      </c>
      <c r="M279" t="s">
        <v>34</v>
      </c>
      <c r="N279" s="5" t="s">
        <v>5</v>
      </c>
    </row>
    <row r="280" spans="1:14">
      <c r="A280" s="4">
        <v>1278</v>
      </c>
      <c r="B280" s="5" t="s">
        <v>307</v>
      </c>
      <c r="C280" s="5" t="s">
        <v>302</v>
      </c>
      <c r="D280" s="5" t="s">
        <v>1</v>
      </c>
      <c r="E280" s="1">
        <v>14.6</v>
      </c>
      <c r="F280" s="1">
        <v>19.8</v>
      </c>
      <c r="G280" s="1">
        <v>16.600000000000001</v>
      </c>
      <c r="H280" s="8" t="str">
        <f t="shared" si="8"/>
        <v>km/l</v>
      </c>
      <c r="I280" s="2" cm="1">
        <f t="array" ref="I280">_xlfn.IFS(D280="GASOLINA",24,D280="HIBRIDO",24,D280="ELÉCTRICO",5,D280="DIESEL",27)</f>
        <v>24</v>
      </c>
      <c r="J280" s="1">
        <v>159</v>
      </c>
      <c r="K280" s="1">
        <v>117</v>
      </c>
      <c r="L280" s="1">
        <v>140</v>
      </c>
      <c r="M280" t="s">
        <v>34</v>
      </c>
      <c r="N280" s="5" t="s">
        <v>5</v>
      </c>
    </row>
    <row r="281" spans="1:14">
      <c r="A281" s="4">
        <v>1279</v>
      </c>
      <c r="B281" s="5" t="s">
        <v>307</v>
      </c>
      <c r="C281" s="5" t="s">
        <v>303</v>
      </c>
      <c r="D281" s="5" t="s">
        <v>1</v>
      </c>
      <c r="E281" s="1">
        <v>14.6</v>
      </c>
      <c r="F281" s="1">
        <v>19.8</v>
      </c>
      <c r="G281" s="1">
        <v>16.600000000000001</v>
      </c>
      <c r="H281" s="8" t="str">
        <f t="shared" si="8"/>
        <v>km/l</v>
      </c>
      <c r="I281" s="2" cm="1">
        <f t="array" ref="I281">_xlfn.IFS(D281="GASOLINA",24,D281="HIBRIDO",24,D281="ELÉCTRICO",5,D281="DIESEL",27)</f>
        <v>24</v>
      </c>
      <c r="J281" s="1">
        <v>159</v>
      </c>
      <c r="K281" s="1">
        <v>117</v>
      </c>
      <c r="L281" s="1">
        <v>140</v>
      </c>
      <c r="M281" t="s">
        <v>34</v>
      </c>
      <c r="N281" s="5" t="s">
        <v>5</v>
      </c>
    </row>
    <row r="282" spans="1:14">
      <c r="A282" s="4">
        <v>1280</v>
      </c>
      <c r="B282" s="5" t="s">
        <v>307</v>
      </c>
      <c r="C282" s="5" t="s">
        <v>304</v>
      </c>
      <c r="D282" s="5" t="s">
        <v>1</v>
      </c>
      <c r="E282" s="1">
        <v>24.4</v>
      </c>
      <c r="F282" s="1">
        <v>22.1</v>
      </c>
      <c r="G282" s="1">
        <v>23.3</v>
      </c>
      <c r="H282" s="8" t="str">
        <f t="shared" si="8"/>
        <v>km/l</v>
      </c>
      <c r="I282" s="2" cm="1">
        <f t="array" ref="I282">_xlfn.IFS(D282="GASOLINA",24,D282="HIBRIDO",24,D282="ELÉCTRICO",5,D282="DIESEL",27)</f>
        <v>24</v>
      </c>
      <c r="J282" s="1">
        <v>96</v>
      </c>
      <c r="K282" s="1">
        <v>105</v>
      </c>
      <c r="L282" s="1">
        <v>100</v>
      </c>
      <c r="M282" t="s">
        <v>34</v>
      </c>
      <c r="N282" s="5" t="s">
        <v>299</v>
      </c>
    </row>
    <row r="283" spans="1:14">
      <c r="A283" s="4">
        <v>1281</v>
      </c>
      <c r="B283" s="5" t="s">
        <v>307</v>
      </c>
      <c r="C283" s="5" t="s">
        <v>292</v>
      </c>
      <c r="D283" s="5" t="s">
        <v>1</v>
      </c>
      <c r="E283" s="1">
        <v>24.4</v>
      </c>
      <c r="F283" s="1">
        <v>22.1</v>
      </c>
      <c r="G283" s="1">
        <v>23.3</v>
      </c>
      <c r="H283" s="8" t="str">
        <f t="shared" si="8"/>
        <v>km/l</v>
      </c>
      <c r="I283" s="2" cm="1">
        <f t="array" ref="I283">_xlfn.IFS(D283="GASOLINA",24,D283="HIBRIDO",24,D283="ELÉCTRICO",5,D283="DIESEL",27)</f>
        <v>24</v>
      </c>
      <c r="J283" s="1">
        <v>96</v>
      </c>
      <c r="K283" s="1">
        <v>105</v>
      </c>
      <c r="L283" s="1">
        <v>100</v>
      </c>
      <c r="M283" t="s">
        <v>34</v>
      </c>
      <c r="N283" s="5" t="s">
        <v>299</v>
      </c>
    </row>
    <row r="284" spans="1:14">
      <c r="A284" s="4">
        <v>1282</v>
      </c>
      <c r="B284" s="5" t="s">
        <v>307</v>
      </c>
      <c r="C284" s="5" t="s">
        <v>294</v>
      </c>
      <c r="D284" s="5" t="s">
        <v>1</v>
      </c>
      <c r="E284" s="1">
        <v>14.6</v>
      </c>
      <c r="F284" s="1">
        <v>19.8</v>
      </c>
      <c r="G284" s="1">
        <v>16.600000000000001</v>
      </c>
      <c r="H284" s="8" t="str">
        <f t="shared" si="8"/>
        <v>km/l</v>
      </c>
      <c r="I284" s="2" cm="1">
        <f t="array" ref="I284">_xlfn.IFS(D284="GASOLINA",24,D284="HIBRIDO",24,D284="ELÉCTRICO",5,D284="DIESEL",27)</f>
        <v>24</v>
      </c>
      <c r="J284" s="1">
        <v>159</v>
      </c>
      <c r="K284" s="1">
        <v>117</v>
      </c>
      <c r="L284" s="1">
        <v>140</v>
      </c>
      <c r="M284" t="s">
        <v>34</v>
      </c>
      <c r="N284" s="5" t="s">
        <v>5</v>
      </c>
    </row>
    <row r="285" spans="1:14">
      <c r="A285" s="4">
        <v>1283</v>
      </c>
      <c r="B285" s="5" t="s">
        <v>307</v>
      </c>
      <c r="C285" s="5" t="s">
        <v>295</v>
      </c>
      <c r="D285" s="5" t="s">
        <v>1</v>
      </c>
      <c r="E285" s="1">
        <v>14.5</v>
      </c>
      <c r="F285" s="1">
        <v>19.2</v>
      </c>
      <c r="G285" s="1">
        <v>16.3</v>
      </c>
      <c r="H285" s="8" t="str">
        <f t="shared" si="8"/>
        <v>km/l</v>
      </c>
      <c r="I285" s="2" cm="1">
        <f t="array" ref="I285">_xlfn.IFS(D285="GASOLINA",24,D285="HIBRIDO",24,D285="ELÉCTRICO",5,D285="DIESEL",27)</f>
        <v>24</v>
      </c>
      <c r="J285" s="1">
        <v>160</v>
      </c>
      <c r="K285" s="1">
        <v>121</v>
      </c>
      <c r="L285" s="1">
        <v>142</v>
      </c>
      <c r="M285" t="s">
        <v>34</v>
      </c>
      <c r="N285" s="5" t="s">
        <v>5</v>
      </c>
    </row>
    <row r="286" spans="1:14">
      <c r="A286" s="4">
        <v>1284</v>
      </c>
      <c r="B286" s="5" t="s">
        <v>307</v>
      </c>
      <c r="C286" s="5" t="s">
        <v>294</v>
      </c>
      <c r="D286" s="5" t="s">
        <v>1</v>
      </c>
      <c r="E286" s="1">
        <v>14.5</v>
      </c>
      <c r="F286" s="1">
        <v>19.2</v>
      </c>
      <c r="G286" s="1">
        <v>16.3</v>
      </c>
      <c r="H286" s="8" t="str">
        <f t="shared" si="8"/>
        <v>km/l</v>
      </c>
      <c r="I286" s="2" cm="1">
        <f t="array" ref="I286">_xlfn.IFS(D286="GASOLINA",24,D286="HIBRIDO",24,D286="ELÉCTRICO",5,D286="DIESEL",27)</f>
        <v>24</v>
      </c>
      <c r="J286" s="1">
        <v>160</v>
      </c>
      <c r="K286" s="1">
        <v>121</v>
      </c>
      <c r="L286" s="1">
        <v>142</v>
      </c>
      <c r="M286" t="s">
        <v>34</v>
      </c>
      <c r="N286" s="5" t="s">
        <v>5</v>
      </c>
    </row>
    <row r="287" spans="1:14">
      <c r="A287" s="4">
        <v>1285</v>
      </c>
      <c r="B287" s="5" t="s">
        <v>307</v>
      </c>
      <c r="C287" s="5" t="s">
        <v>305</v>
      </c>
      <c r="D287" s="5" t="s">
        <v>1</v>
      </c>
      <c r="E287" s="1">
        <v>14.5</v>
      </c>
      <c r="F287" s="1">
        <v>19.2</v>
      </c>
      <c r="G287" s="1">
        <v>16.3</v>
      </c>
      <c r="H287" s="8" t="str">
        <f t="shared" si="8"/>
        <v>km/l</v>
      </c>
      <c r="I287" s="2" cm="1">
        <f t="array" ref="I287">_xlfn.IFS(D287="GASOLINA",24,D287="HIBRIDO",24,D287="ELÉCTRICO",5,D287="DIESEL",27)</f>
        <v>24</v>
      </c>
      <c r="J287" s="1">
        <v>160</v>
      </c>
      <c r="K287" s="1">
        <v>121</v>
      </c>
      <c r="L287" s="1">
        <v>142</v>
      </c>
      <c r="M287" t="s">
        <v>34</v>
      </c>
      <c r="N287" s="5" t="s">
        <v>5</v>
      </c>
    </row>
    <row r="288" spans="1:14">
      <c r="A288" s="4">
        <v>1286</v>
      </c>
      <c r="B288" s="5" t="s">
        <v>307</v>
      </c>
      <c r="C288" s="5" t="s">
        <v>294</v>
      </c>
      <c r="D288" s="5" t="s">
        <v>1</v>
      </c>
      <c r="E288" s="1">
        <v>9.9</v>
      </c>
      <c r="F288" s="1">
        <v>16.100000000000001</v>
      </c>
      <c r="G288" s="1">
        <v>12.7</v>
      </c>
      <c r="H288" s="8" t="str">
        <f t="shared" si="8"/>
        <v>km/l</v>
      </c>
      <c r="I288" s="2" cm="1">
        <f t="array" ref="I288">_xlfn.IFS(D288="GASOLINA",24,D288="HIBRIDO",24,D288="ELÉCTRICO",5,D288="DIESEL",27)</f>
        <v>24</v>
      </c>
      <c r="J288" s="1">
        <v>234</v>
      </c>
      <c r="K288" s="1">
        <v>145</v>
      </c>
      <c r="L288" s="1">
        <v>183</v>
      </c>
      <c r="M288" t="s">
        <v>40</v>
      </c>
      <c r="N288" s="5" t="s">
        <v>10</v>
      </c>
    </row>
    <row r="289" spans="1:14">
      <c r="A289" s="4">
        <v>1287</v>
      </c>
      <c r="B289" s="5" t="s">
        <v>307</v>
      </c>
      <c r="C289" s="5" t="s">
        <v>306</v>
      </c>
      <c r="D289" s="5" t="s">
        <v>1</v>
      </c>
      <c r="E289" s="1">
        <v>9.9</v>
      </c>
      <c r="F289" s="1">
        <v>16.100000000000001</v>
      </c>
      <c r="G289" s="1">
        <v>12.7</v>
      </c>
      <c r="H289" s="8" t="str">
        <f t="shared" si="8"/>
        <v>km/l</v>
      </c>
      <c r="I289" s="2" cm="1">
        <f t="array" ref="I289">_xlfn.IFS(D289="GASOLINA",24,D289="HIBRIDO",24,D289="ELÉCTRICO",5,D289="DIESEL",27)</f>
        <v>24</v>
      </c>
      <c r="J289" s="1">
        <v>234</v>
      </c>
      <c r="K289" s="1">
        <v>145</v>
      </c>
      <c r="L289" s="1">
        <v>183</v>
      </c>
      <c r="M289" t="s">
        <v>40</v>
      </c>
      <c r="N289" s="5" t="s">
        <v>10</v>
      </c>
    </row>
    <row r="290" spans="1:14">
      <c r="A290" s="4">
        <v>1288</v>
      </c>
      <c r="B290" s="5" t="s">
        <v>307</v>
      </c>
      <c r="C290" s="5" t="s">
        <v>306</v>
      </c>
      <c r="D290" s="5" t="s">
        <v>1</v>
      </c>
      <c r="E290" s="1">
        <v>9.9</v>
      </c>
      <c r="F290" s="1">
        <v>15.7</v>
      </c>
      <c r="G290" s="1">
        <v>12.3</v>
      </c>
      <c r="H290" s="8" t="str">
        <f t="shared" si="8"/>
        <v>km/l</v>
      </c>
      <c r="I290" s="2" cm="1">
        <f t="array" ref="I290">_xlfn.IFS(D290="GASOLINA",24,D290="HIBRIDO",24,D290="ELÉCTRICO",5,D290="DIESEL",27)</f>
        <v>24</v>
      </c>
      <c r="J290" s="1">
        <v>234</v>
      </c>
      <c r="K290" s="1">
        <v>148</v>
      </c>
      <c r="L290" s="1">
        <v>195</v>
      </c>
      <c r="M290" t="s">
        <v>40</v>
      </c>
      <c r="N290" s="5" t="s">
        <v>10</v>
      </c>
    </row>
    <row r="291" spans="1:14">
      <c r="A291" s="4">
        <v>1289</v>
      </c>
      <c r="B291" s="5" t="s">
        <v>307</v>
      </c>
      <c r="C291" s="5" t="s">
        <v>294</v>
      </c>
      <c r="D291" s="5" t="s">
        <v>1</v>
      </c>
      <c r="E291" s="1">
        <v>9.9</v>
      </c>
      <c r="F291" s="1">
        <v>15.7</v>
      </c>
      <c r="G291" s="1">
        <v>12.3</v>
      </c>
      <c r="H291" s="8" t="str">
        <f t="shared" si="8"/>
        <v>km/l</v>
      </c>
      <c r="I291" s="2" cm="1">
        <f t="array" ref="I291">_xlfn.IFS(D291="GASOLINA",24,D291="HIBRIDO",24,D291="ELÉCTRICO",5,D291="DIESEL",27)</f>
        <v>24</v>
      </c>
      <c r="J291" s="1">
        <v>234</v>
      </c>
      <c r="K291" s="1">
        <v>148</v>
      </c>
      <c r="L291" s="1">
        <v>195</v>
      </c>
      <c r="M291" t="s">
        <v>40</v>
      </c>
      <c r="N291" s="5" t="s">
        <v>10</v>
      </c>
    </row>
    <row r="292" spans="1:14">
      <c r="A292" s="4">
        <v>1290</v>
      </c>
      <c r="B292" s="5" t="s">
        <v>311</v>
      </c>
      <c r="C292" s="5" t="s">
        <v>308</v>
      </c>
      <c r="D292" s="5" t="s">
        <v>1</v>
      </c>
      <c r="E292" s="1">
        <v>8.5</v>
      </c>
      <c r="F292" s="1">
        <v>12.8</v>
      </c>
      <c r="G292" s="1">
        <v>10.0138058</v>
      </c>
      <c r="H292" s="8" t="str">
        <f t="shared" ref="H292:H297" si="9">IF(D292="ELÉCTRICO","km/kwh",IF(OR(D292="GASOLINA",D292="HIBRIDO",D292="DIESEL"),"km/l","N/D"))</f>
        <v>km/l</v>
      </c>
      <c r="I292" s="2" cm="1">
        <f t="array" ref="I292">_xlfn.IFS(D292="GASOLINA",24,D292="HIBRIDO",24,D292="ELÉCTRICO",5,D292="DIESEL",27)</f>
        <v>24</v>
      </c>
      <c r="J292" s="1">
        <v>276</v>
      </c>
      <c r="K292" s="1">
        <v>183</v>
      </c>
      <c r="L292" s="1">
        <v>234</v>
      </c>
      <c r="M292" t="s">
        <v>40</v>
      </c>
      <c r="N292" s="5" t="s">
        <v>10</v>
      </c>
    </row>
    <row r="293" spans="1:14">
      <c r="A293" s="4">
        <v>1291</v>
      </c>
      <c r="B293" s="5" t="s">
        <v>311</v>
      </c>
      <c r="C293" s="5" t="s">
        <v>309</v>
      </c>
      <c r="D293" s="5" t="s">
        <v>1</v>
      </c>
      <c r="E293" s="1">
        <v>8.6</v>
      </c>
      <c r="F293" s="1">
        <v>12.7</v>
      </c>
      <c r="G293" s="1">
        <v>10.061722700000001</v>
      </c>
      <c r="H293" s="8" t="str">
        <f t="shared" si="9"/>
        <v>km/l</v>
      </c>
      <c r="I293" s="2" cm="1">
        <f t="array" ref="I293">_xlfn.IFS(D293="GASOLINA",24,D293="HIBRIDO",24,D293="ELÉCTRICO",5,D293="DIESEL",27)</f>
        <v>24</v>
      </c>
      <c r="J293" s="1">
        <v>273</v>
      </c>
      <c r="K293" s="1">
        <v>184</v>
      </c>
      <c r="L293" s="1">
        <v>233</v>
      </c>
      <c r="M293" t="s">
        <v>40</v>
      </c>
      <c r="N293" s="5" t="s">
        <v>10</v>
      </c>
    </row>
    <row r="294" spans="1:14">
      <c r="A294" s="4">
        <v>1292</v>
      </c>
      <c r="B294" s="5" t="s">
        <v>311</v>
      </c>
      <c r="C294" s="5" t="s">
        <v>310</v>
      </c>
      <c r="D294" s="5" t="s">
        <v>1</v>
      </c>
      <c r="E294" s="1">
        <v>10</v>
      </c>
      <c r="F294" s="1">
        <v>14.6</v>
      </c>
      <c r="G294" s="1">
        <v>11.652035100000001</v>
      </c>
      <c r="H294" s="8" t="str">
        <f t="shared" si="9"/>
        <v>km/l</v>
      </c>
      <c r="I294" s="2" cm="1">
        <f t="array" ref="I294">_xlfn.IFS(D294="GASOLINA",24,D294="HIBRIDO",24,D294="ELÉCTRICO",5,D294="DIESEL",27)</f>
        <v>24</v>
      </c>
      <c r="J294" s="1">
        <v>234</v>
      </c>
      <c r="K294" s="1">
        <v>160</v>
      </c>
      <c r="L294" s="1">
        <v>201</v>
      </c>
      <c r="M294" t="s">
        <v>40</v>
      </c>
      <c r="N294" s="5" t="s">
        <v>10</v>
      </c>
    </row>
    <row r="295" spans="1:14">
      <c r="A295" s="4">
        <v>1293</v>
      </c>
      <c r="B295" s="5" t="s">
        <v>311</v>
      </c>
      <c r="C295" s="5" t="s">
        <v>310</v>
      </c>
      <c r="D295" s="5" t="s">
        <v>1</v>
      </c>
      <c r="E295" s="1">
        <v>10</v>
      </c>
      <c r="F295" s="1">
        <v>14.6</v>
      </c>
      <c r="G295" s="1">
        <v>11.652035100000001</v>
      </c>
      <c r="H295" s="8" t="str">
        <f t="shared" si="9"/>
        <v>km/l</v>
      </c>
      <c r="I295" s="2" cm="1">
        <f t="array" ref="I295">_xlfn.IFS(D295="GASOLINA",24,D295="HIBRIDO",24,D295="ELÉCTRICO",5,D295="DIESEL",27)</f>
        <v>24</v>
      </c>
      <c r="J295" s="1">
        <v>234</v>
      </c>
      <c r="K295" s="1">
        <v>160</v>
      </c>
      <c r="L295" s="1">
        <v>201</v>
      </c>
      <c r="M295" t="s">
        <v>40</v>
      </c>
      <c r="N295" s="5" t="s">
        <v>10</v>
      </c>
    </row>
    <row r="296" spans="1:14">
      <c r="A296" s="4">
        <v>1294</v>
      </c>
      <c r="B296" s="5" t="s">
        <v>311</v>
      </c>
      <c r="C296" s="5" t="s">
        <v>308</v>
      </c>
      <c r="D296" s="5" t="s">
        <v>1</v>
      </c>
      <c r="E296" s="1">
        <v>8.5</v>
      </c>
      <c r="F296" s="1">
        <v>12.8</v>
      </c>
      <c r="G296" s="1">
        <v>10.0138058</v>
      </c>
      <c r="H296" s="8" t="str">
        <f t="shared" si="9"/>
        <v>km/l</v>
      </c>
      <c r="I296" s="2" cm="1">
        <f t="array" ref="I296">_xlfn.IFS(D296="GASOLINA",24,D296="HIBRIDO",24,D296="ELÉCTRICO",5,D296="DIESEL",27)</f>
        <v>24</v>
      </c>
      <c r="J296" s="1">
        <v>276</v>
      </c>
      <c r="K296" s="1">
        <v>183</v>
      </c>
      <c r="L296" s="1">
        <v>234</v>
      </c>
      <c r="M296" t="s">
        <v>40</v>
      </c>
      <c r="N296" s="5" t="s">
        <v>10</v>
      </c>
    </row>
    <row r="297" spans="1:14">
      <c r="A297" s="4">
        <v>1295</v>
      </c>
      <c r="B297" s="5" t="s">
        <v>311</v>
      </c>
      <c r="C297" s="5" t="s">
        <v>309</v>
      </c>
      <c r="D297" s="5" t="s">
        <v>1</v>
      </c>
      <c r="E297" s="1">
        <v>8.6</v>
      </c>
      <c r="F297" s="1">
        <v>12.7</v>
      </c>
      <c r="G297" s="1">
        <v>10.061722700000001</v>
      </c>
      <c r="H297" s="8" t="str">
        <f t="shared" si="9"/>
        <v>km/l</v>
      </c>
      <c r="I297" s="2" cm="1">
        <f t="array" ref="I297">_xlfn.IFS(D297="GASOLINA",24,D297="HIBRIDO",24,D297="ELÉCTRICO",5,D297="DIESEL",27)</f>
        <v>24</v>
      </c>
      <c r="J297" s="1">
        <v>273</v>
      </c>
      <c r="K297" s="1">
        <v>184</v>
      </c>
      <c r="L297" s="1">
        <v>233</v>
      </c>
      <c r="M297" t="s">
        <v>40</v>
      </c>
      <c r="N297" s="5" t="s">
        <v>10</v>
      </c>
    </row>
    <row r="298" spans="1:14">
      <c r="A298" s="4">
        <v>1296</v>
      </c>
      <c r="B298" s="5" t="s">
        <v>312</v>
      </c>
      <c r="C298" s="5" t="s">
        <v>313</v>
      </c>
      <c r="D298" s="5" t="s">
        <v>1</v>
      </c>
      <c r="E298" s="1">
        <v>12.69</v>
      </c>
      <c r="F298" s="1">
        <v>18.05</v>
      </c>
      <c r="G298" s="1">
        <v>14.64</v>
      </c>
      <c r="H298" s="8" t="str">
        <f t="shared" ref="H298:H307" si="10">IF(D298="ELÉCTRICO","km/kwh",IF(OR(D298="GASOLINA",D298="HIBRIDO",D298="DIESEL"),"km/l","N/D"))</f>
        <v>km/l</v>
      </c>
      <c r="I298" s="2" cm="1">
        <f t="array" ref="I298">_xlfn.IFS(D298="GASOLINA",24,D298="HIBRIDO",24,D298="ELÉCTRICO",5,D298="DIESEL",27)</f>
        <v>24</v>
      </c>
      <c r="J298" s="1">
        <v>180.2</v>
      </c>
      <c r="K298" s="1">
        <v>126.64</v>
      </c>
      <c r="L298" s="1">
        <v>156.1</v>
      </c>
      <c r="M298" t="s">
        <v>34</v>
      </c>
      <c r="N298" s="5" t="s">
        <v>4</v>
      </c>
    </row>
    <row r="299" spans="1:14">
      <c r="A299" s="4">
        <v>1297</v>
      </c>
      <c r="B299" s="5" t="s">
        <v>312</v>
      </c>
      <c r="C299" s="5" t="s">
        <v>314</v>
      </c>
      <c r="D299" s="5" t="s">
        <v>1</v>
      </c>
      <c r="E299" s="1">
        <v>12.5</v>
      </c>
      <c r="F299" s="1">
        <v>18.87</v>
      </c>
      <c r="G299" s="1">
        <v>14.74</v>
      </c>
      <c r="H299" s="8" t="str">
        <f t="shared" si="10"/>
        <v>km/l</v>
      </c>
      <c r="I299" s="2" cm="1">
        <f t="array" ref="I299">_xlfn.IFS(D299="GASOLINA",24,D299="HIBRIDO",24,D299="ELÉCTRICO",5,D299="DIESEL",27)</f>
        <v>24</v>
      </c>
      <c r="J299" s="1">
        <v>182.82</v>
      </c>
      <c r="K299" s="1">
        <v>121.14</v>
      </c>
      <c r="L299" s="1">
        <v>155.06</v>
      </c>
      <c r="M299" t="s">
        <v>34</v>
      </c>
      <c r="N299" s="5" t="s">
        <v>4</v>
      </c>
    </row>
    <row r="300" spans="1:14">
      <c r="A300" s="4">
        <v>1298</v>
      </c>
      <c r="B300" s="5" t="s">
        <v>312</v>
      </c>
      <c r="C300" s="5" t="s">
        <v>315</v>
      </c>
      <c r="D300" s="5" t="s">
        <v>1</v>
      </c>
      <c r="E300" s="1">
        <v>12.55</v>
      </c>
      <c r="F300" s="1">
        <v>15.48</v>
      </c>
      <c r="G300" s="1">
        <v>13.72</v>
      </c>
      <c r="H300" s="8" t="str">
        <f t="shared" si="10"/>
        <v>km/l</v>
      </c>
      <c r="I300" s="2" cm="1">
        <f t="array" ref="I300">_xlfn.IFS(D300="GASOLINA",24,D300="HIBRIDO",24,D300="ELÉCTRICO",5,D300="DIESEL",27)</f>
        <v>24</v>
      </c>
      <c r="J300" s="1">
        <v>182.12</v>
      </c>
      <c r="K300" s="1">
        <v>147.63999999999999</v>
      </c>
      <c r="L300" s="1">
        <v>166.6</v>
      </c>
      <c r="M300" t="s">
        <v>34</v>
      </c>
      <c r="N300" s="5" t="s">
        <v>4</v>
      </c>
    </row>
    <row r="301" spans="1:14">
      <c r="A301" s="4">
        <v>1299</v>
      </c>
      <c r="B301" s="5" t="s">
        <v>312</v>
      </c>
      <c r="C301" s="5" t="s">
        <v>316</v>
      </c>
      <c r="D301" s="5" t="s">
        <v>1</v>
      </c>
      <c r="E301" s="1">
        <v>10.79</v>
      </c>
      <c r="F301" s="1">
        <v>16.34</v>
      </c>
      <c r="G301" s="1">
        <v>12.74</v>
      </c>
      <c r="H301" s="8" t="str">
        <f t="shared" si="10"/>
        <v>km/l</v>
      </c>
      <c r="I301" s="2" cm="1">
        <f t="array" ref="I301">_xlfn.IFS(D301="GASOLINA",24,D301="HIBRIDO",24,D301="ELÉCTRICO",5,D301="DIESEL",27)</f>
        <v>24</v>
      </c>
      <c r="J301" s="1">
        <v>211.4</v>
      </c>
      <c r="K301" s="1">
        <v>140.16999999999999</v>
      </c>
      <c r="L301" s="1">
        <v>179.35</v>
      </c>
      <c r="M301" t="s">
        <v>34</v>
      </c>
      <c r="N301" s="5" t="s">
        <v>10</v>
      </c>
    </row>
    <row r="302" spans="1:14">
      <c r="A302" s="4">
        <v>1300</v>
      </c>
      <c r="B302" s="5" t="s">
        <v>312</v>
      </c>
      <c r="C302" s="5" t="s">
        <v>317</v>
      </c>
      <c r="D302" s="5" t="s">
        <v>17</v>
      </c>
      <c r="E302" s="1">
        <v>43.5</v>
      </c>
      <c r="F302" s="1">
        <v>27</v>
      </c>
      <c r="G302" s="1">
        <v>34.1</v>
      </c>
      <c r="H302" s="8" t="str">
        <f t="shared" si="10"/>
        <v>km/l</v>
      </c>
      <c r="I302" s="2" cm="1">
        <f t="array" ref="I302">_xlfn.IFS(D302="GASOLINA",24,D302="HIBRIDO",24,D302="ELÉCTRICO",5,D302="DIESEL",27)</f>
        <v>24</v>
      </c>
      <c r="J302" s="1">
        <v>7</v>
      </c>
      <c r="K302" s="1">
        <v>47</v>
      </c>
      <c r="L302" s="1">
        <v>25</v>
      </c>
      <c r="M302" t="s">
        <v>34</v>
      </c>
      <c r="N302" s="5" t="s">
        <v>10</v>
      </c>
    </row>
    <row r="303" spans="1:14">
      <c r="A303" s="4">
        <v>1301</v>
      </c>
      <c r="B303" s="5" t="s">
        <v>312</v>
      </c>
      <c r="C303" s="5" t="s">
        <v>318</v>
      </c>
      <c r="D303" s="5" t="s">
        <v>1</v>
      </c>
      <c r="E303" s="1">
        <v>9.3800000000000008</v>
      </c>
      <c r="F303" s="1">
        <v>13.79</v>
      </c>
      <c r="G303" s="1">
        <v>11</v>
      </c>
      <c r="H303" s="8" t="str">
        <f t="shared" si="10"/>
        <v>km/l</v>
      </c>
      <c r="I303" s="2" cm="1">
        <f t="array" ref="I303">_xlfn.IFS(D303="GASOLINA",24,D303="HIBRIDO",24,D303="ELÉCTRICO",5,D303="DIESEL",27)</f>
        <v>24</v>
      </c>
      <c r="J303" s="1">
        <v>244.1</v>
      </c>
      <c r="K303" s="1">
        <v>166.16</v>
      </c>
      <c r="L303" s="1">
        <v>209.03</v>
      </c>
      <c r="M303" t="s">
        <v>34</v>
      </c>
      <c r="N303" s="5" t="s">
        <v>10</v>
      </c>
    </row>
    <row r="304" spans="1:14">
      <c r="A304" s="4">
        <v>1302</v>
      </c>
      <c r="B304" s="5" t="s">
        <v>312</v>
      </c>
      <c r="C304" s="5" t="s">
        <v>319</v>
      </c>
      <c r="D304" s="5" t="s">
        <v>1</v>
      </c>
      <c r="E304" s="1">
        <v>9.8000000000000007</v>
      </c>
      <c r="F304" s="1">
        <v>15.38</v>
      </c>
      <c r="G304" s="1">
        <v>12.65</v>
      </c>
      <c r="H304" s="8" t="str">
        <f t="shared" si="10"/>
        <v>km/l</v>
      </c>
      <c r="I304" s="2" cm="1">
        <f t="array" ref="I304">_xlfn.IFS(D304="GASOLINA",24,D304="HIBRIDO",24,D304="ELÉCTRICO",5,D304="DIESEL",27)</f>
        <v>24</v>
      </c>
      <c r="J304" s="1">
        <v>233</v>
      </c>
      <c r="K304" s="1">
        <v>149</v>
      </c>
      <c r="L304" s="1">
        <v>184</v>
      </c>
      <c r="M304" t="s">
        <v>34</v>
      </c>
      <c r="N304" s="5" t="s">
        <v>4</v>
      </c>
    </row>
    <row r="305" spans="1:14">
      <c r="A305" s="4">
        <v>1303</v>
      </c>
      <c r="B305" s="5" t="s">
        <v>312</v>
      </c>
      <c r="C305" s="5" t="s">
        <v>320</v>
      </c>
      <c r="D305" s="5" t="s">
        <v>17</v>
      </c>
      <c r="E305" s="1">
        <v>41.7</v>
      </c>
      <c r="F305" s="1">
        <v>25.2</v>
      </c>
      <c r="G305" s="1">
        <v>32.200000000000003</v>
      </c>
      <c r="H305" s="8" t="str">
        <f t="shared" si="10"/>
        <v>km/l</v>
      </c>
      <c r="I305" s="2" cm="1">
        <f t="array" ref="I305">_xlfn.IFS(D305="GASOLINA",24,D305="HIBRIDO",24,D305="ELÉCTRICO",5,D305="DIESEL",27)</f>
        <v>24</v>
      </c>
      <c r="J305" s="1">
        <v>8</v>
      </c>
      <c r="K305" s="1">
        <v>52</v>
      </c>
      <c r="L305" s="1">
        <v>27</v>
      </c>
      <c r="M305" t="s">
        <v>34</v>
      </c>
      <c r="N305" s="5" t="s">
        <v>18</v>
      </c>
    </row>
    <row r="306" spans="1:14">
      <c r="A306" s="4">
        <v>1304</v>
      </c>
      <c r="B306" s="5" t="s">
        <v>312</v>
      </c>
      <c r="C306" s="5" t="s">
        <v>321</v>
      </c>
      <c r="D306" s="5" t="s">
        <v>1</v>
      </c>
      <c r="E306" s="1">
        <v>9.3800000000000008</v>
      </c>
      <c r="F306" s="1">
        <v>13.79</v>
      </c>
      <c r="G306" s="1">
        <v>11</v>
      </c>
      <c r="H306" s="8" t="str">
        <f t="shared" si="10"/>
        <v>km/l</v>
      </c>
      <c r="I306" s="2" cm="1">
        <f t="array" ref="I306">_xlfn.IFS(D306="GASOLINA",24,D306="HIBRIDO",24,D306="ELÉCTRICO",5,D306="DIESEL",27)</f>
        <v>24</v>
      </c>
      <c r="J306" s="1">
        <v>244.1</v>
      </c>
      <c r="K306" s="1">
        <v>166.16</v>
      </c>
      <c r="L306" s="1">
        <v>209.03</v>
      </c>
      <c r="M306" t="s">
        <v>34</v>
      </c>
      <c r="N306" s="5" t="s">
        <v>4</v>
      </c>
    </row>
    <row r="307" spans="1:14">
      <c r="A307" s="4">
        <v>1305</v>
      </c>
      <c r="B307" s="5" t="s">
        <v>312</v>
      </c>
      <c r="C307" s="5" t="s">
        <v>322</v>
      </c>
      <c r="D307" s="5" t="s">
        <v>17</v>
      </c>
      <c r="E307" s="1">
        <v>38.200000000000003</v>
      </c>
      <c r="F307" s="1">
        <v>25.2</v>
      </c>
      <c r="G307" s="1">
        <v>31</v>
      </c>
      <c r="H307" s="8" t="str">
        <f t="shared" si="10"/>
        <v>km/l</v>
      </c>
      <c r="I307" s="2" cm="1">
        <f t="array" ref="I307">_xlfn.IFS(D307="GASOLINA",24,D307="HIBRIDO",24,D307="ELÉCTRICO",5,D307="DIESEL",27)</f>
        <v>24</v>
      </c>
      <c r="J307" s="1">
        <v>4</v>
      </c>
      <c r="K307" s="1">
        <v>45</v>
      </c>
      <c r="L307" s="1">
        <v>22</v>
      </c>
      <c r="M307" t="s">
        <v>34</v>
      </c>
      <c r="N307" s="5" t="s">
        <v>10</v>
      </c>
    </row>
    <row r="308" spans="1:14">
      <c r="A308" s="4">
        <v>1306</v>
      </c>
      <c r="B308" s="5" t="s">
        <v>323</v>
      </c>
      <c r="C308" s="5" t="s">
        <v>324</v>
      </c>
      <c r="D308" s="5" t="s">
        <v>1</v>
      </c>
      <c r="E308" s="1">
        <v>8.9700000000000006</v>
      </c>
      <c r="F308" s="1">
        <v>12.22</v>
      </c>
      <c r="G308" s="1">
        <v>10.19</v>
      </c>
      <c r="H308" s="8" t="str">
        <f t="shared" ref="H308:H312" si="11">IF(D308="ELÉCTRICO","km/kwh",IF(OR(D308="GASOLINA",D308="HIBRIDO",D308="DIESEL"),"km/l","N/D"))</f>
        <v>km/l</v>
      </c>
      <c r="I308" s="2" cm="1">
        <f t="array" ref="I308">_xlfn.IFS(D308="GASOLINA",24,D308="HIBRIDO",24,D308="ELÉCTRICO",5,D308="DIESEL",27)</f>
        <v>24</v>
      </c>
      <c r="J308" s="1">
        <v>263</v>
      </c>
      <c r="K308" s="1">
        <v>193</v>
      </c>
      <c r="L308" s="1">
        <v>232</v>
      </c>
      <c r="M308" t="s">
        <v>34</v>
      </c>
      <c r="N308" s="5" t="s">
        <v>10</v>
      </c>
    </row>
    <row r="309" spans="1:14">
      <c r="A309" s="4">
        <v>1307</v>
      </c>
      <c r="B309" s="5" t="s">
        <v>323</v>
      </c>
      <c r="C309" s="5" t="s">
        <v>325</v>
      </c>
      <c r="D309" s="5" t="s">
        <v>1</v>
      </c>
      <c r="E309" s="1">
        <v>8.9700000000000006</v>
      </c>
      <c r="F309" s="1">
        <v>12.22</v>
      </c>
      <c r="G309" s="1">
        <v>10.19</v>
      </c>
      <c r="H309" s="8" t="str">
        <f t="shared" si="11"/>
        <v>km/l</v>
      </c>
      <c r="I309" s="2" cm="1">
        <f t="array" ref="I309">_xlfn.IFS(D309="GASOLINA",24,D309="HIBRIDO",24,D309="ELÉCTRICO",5,D309="DIESEL",27)</f>
        <v>24</v>
      </c>
      <c r="J309" s="1">
        <v>263</v>
      </c>
      <c r="K309" s="1">
        <v>193</v>
      </c>
      <c r="L309" s="1">
        <v>232</v>
      </c>
      <c r="M309" t="s">
        <v>34</v>
      </c>
      <c r="N309" s="5" t="s">
        <v>10</v>
      </c>
    </row>
    <row r="310" spans="1:14">
      <c r="A310" s="4">
        <v>1308</v>
      </c>
      <c r="B310" s="5" t="s">
        <v>323</v>
      </c>
      <c r="C310" s="5" t="s">
        <v>326</v>
      </c>
      <c r="D310" s="5" t="s">
        <v>1</v>
      </c>
      <c r="E310" s="1">
        <v>8.84</v>
      </c>
      <c r="F310" s="1">
        <v>11.76</v>
      </c>
      <c r="G310" s="1">
        <v>9.9499999999999993</v>
      </c>
      <c r="H310" s="8" t="str">
        <f t="shared" si="11"/>
        <v>km/l</v>
      </c>
      <c r="I310" s="2" cm="1">
        <f t="array" ref="I310">_xlfn.IFS(D310="GASOLINA",24,D310="HIBRIDO",24,D310="ELÉCTRICO",5,D310="DIESEL",27)</f>
        <v>24</v>
      </c>
      <c r="J310" s="1">
        <v>426</v>
      </c>
      <c r="K310" s="1">
        <v>201</v>
      </c>
      <c r="L310" s="1">
        <v>325</v>
      </c>
      <c r="M310" t="s">
        <v>34</v>
      </c>
      <c r="N310" s="5" t="s">
        <v>10</v>
      </c>
    </row>
    <row r="311" spans="1:14">
      <c r="A311" s="4">
        <v>1309</v>
      </c>
      <c r="B311" s="5" t="s">
        <v>323</v>
      </c>
      <c r="C311" s="5" t="s">
        <v>327</v>
      </c>
      <c r="D311" s="5" t="s">
        <v>1</v>
      </c>
      <c r="E311" s="1">
        <v>9.26</v>
      </c>
      <c r="F311" s="1">
        <v>12.38</v>
      </c>
      <c r="G311" s="1">
        <v>10.44</v>
      </c>
      <c r="H311" s="8" t="str">
        <f t="shared" si="11"/>
        <v>km/l</v>
      </c>
      <c r="I311" s="2" cm="1">
        <f t="array" ref="I311">_xlfn.IFS(D311="GASOLINA",24,D311="HIBRIDO",24,D311="ELÉCTRICO",5,D311="DIESEL",27)</f>
        <v>24</v>
      </c>
      <c r="J311" s="1">
        <v>408</v>
      </c>
      <c r="K311" s="1">
        <v>191</v>
      </c>
      <c r="L311" s="1">
        <v>310</v>
      </c>
      <c r="M311" t="s">
        <v>34</v>
      </c>
      <c r="N311" s="5" t="s">
        <v>10</v>
      </c>
    </row>
    <row r="312" spans="1:14">
      <c r="A312" s="4">
        <v>1310</v>
      </c>
      <c r="B312" s="5" t="s">
        <v>323</v>
      </c>
      <c r="C312" s="5" t="s">
        <v>328</v>
      </c>
      <c r="D312" s="5" t="s">
        <v>1</v>
      </c>
      <c r="E312" s="1">
        <v>9.6300000000000008</v>
      </c>
      <c r="F312" s="1">
        <v>13.32</v>
      </c>
      <c r="G312" s="1">
        <v>11</v>
      </c>
      <c r="H312" s="8" t="str">
        <f t="shared" si="11"/>
        <v>km/l</v>
      </c>
      <c r="I312" s="2" cm="1">
        <f t="array" ref="I312">_xlfn.IFS(D312="GASOLINA",24,D312="HIBRIDO",24,D312="ELÉCTRICO",5,D312="DIESEL",27)</f>
        <v>24</v>
      </c>
      <c r="J312" s="1">
        <v>391</v>
      </c>
      <c r="K312" s="1">
        <v>177</v>
      </c>
      <c r="L312" s="1">
        <v>295</v>
      </c>
      <c r="M312" t="s">
        <v>34</v>
      </c>
      <c r="N312" s="5" t="s">
        <v>2</v>
      </c>
    </row>
    <row r="313" spans="1:14">
      <c r="A313" s="4">
        <v>1311</v>
      </c>
      <c r="B313" s="5" t="s">
        <v>329</v>
      </c>
      <c r="C313" s="5" t="s">
        <v>330</v>
      </c>
      <c r="D313" s="5" t="s">
        <v>1</v>
      </c>
      <c r="E313" s="1">
        <v>11.78</v>
      </c>
      <c r="F313" s="1">
        <v>17.89</v>
      </c>
      <c r="G313" s="1">
        <v>13.923582</v>
      </c>
      <c r="H313" s="8" t="str">
        <f t="shared" ref="H313:H319" si="12">IF(D313="ELÉCTRICO","km/kwh",IF(OR(D313="GASOLINA",D313="HIBRIDO",D313="DIESEL"),"km/l","N/D"))</f>
        <v>km/l</v>
      </c>
      <c r="I313" s="2" cm="1">
        <f t="array" ref="I313">_xlfn.IFS(D313="GASOLINA",24,D313="HIBRIDO",24,D313="ELÉCTRICO",5,D313="DIESEL",27)</f>
        <v>24</v>
      </c>
      <c r="J313" s="1">
        <v>199</v>
      </c>
      <c r="K313" s="1">
        <v>131</v>
      </c>
      <c r="L313" s="1">
        <v>168</v>
      </c>
      <c r="M313" t="s">
        <v>237</v>
      </c>
      <c r="N313" s="5" t="s">
        <v>10</v>
      </c>
    </row>
    <row r="314" spans="1:14">
      <c r="A314" s="4">
        <v>1312</v>
      </c>
      <c r="B314" s="5" t="s">
        <v>329</v>
      </c>
      <c r="C314" s="5" t="s">
        <v>331</v>
      </c>
      <c r="D314" s="5" t="s">
        <v>1</v>
      </c>
      <c r="E314" s="1">
        <v>11.9145</v>
      </c>
      <c r="F314" s="1">
        <v>18.134810000000002</v>
      </c>
      <c r="G314" s="1">
        <v>14.087572</v>
      </c>
      <c r="H314" s="8" t="str">
        <f t="shared" si="12"/>
        <v>km/l</v>
      </c>
      <c r="I314" s="2" cm="1">
        <f t="array" ref="I314">_xlfn.IFS(D314="GASOLINA",24,D314="HIBRIDO",24,D314="ELÉCTRICO",5,D314="DIESEL",27)</f>
        <v>24</v>
      </c>
      <c r="J314" s="1">
        <v>197</v>
      </c>
      <c r="K314" s="1">
        <v>129</v>
      </c>
      <c r="L314" s="1">
        <v>166</v>
      </c>
      <c r="M314" t="s">
        <v>237</v>
      </c>
      <c r="N314" s="5" t="s">
        <v>10</v>
      </c>
    </row>
    <row r="315" spans="1:14">
      <c r="A315" s="4">
        <v>1313</v>
      </c>
      <c r="B315" s="5" t="s">
        <v>329</v>
      </c>
      <c r="C315" s="5" t="s">
        <v>332</v>
      </c>
      <c r="D315" s="5" t="s">
        <v>1</v>
      </c>
      <c r="E315" s="1">
        <v>11.5</v>
      </c>
      <c r="F315" s="1">
        <v>18.7</v>
      </c>
      <c r="G315" s="1">
        <v>13.9</v>
      </c>
      <c r="H315" s="8" t="str">
        <f t="shared" si="12"/>
        <v>km/l</v>
      </c>
      <c r="I315" s="2" cm="1">
        <f t="array" ref="I315">_xlfn.IFS(D315="GASOLINA",24,D315="HIBRIDO",24,D315="ELÉCTRICO",5,D315="DIESEL",27)</f>
        <v>24</v>
      </c>
      <c r="J315" s="1">
        <v>204</v>
      </c>
      <c r="K315" s="1">
        <v>125</v>
      </c>
      <c r="L315" s="1">
        <v>169</v>
      </c>
      <c r="M315" t="s">
        <v>237</v>
      </c>
      <c r="N315" s="5" t="s">
        <v>10</v>
      </c>
    </row>
    <row r="316" spans="1:14">
      <c r="A316" s="4">
        <v>1314</v>
      </c>
      <c r="B316" s="5" t="s">
        <v>329</v>
      </c>
      <c r="C316" s="5" t="s">
        <v>333</v>
      </c>
      <c r="D316" s="5" t="s">
        <v>1</v>
      </c>
      <c r="E316" s="1">
        <v>16.899999999999999</v>
      </c>
      <c r="F316" s="1">
        <v>19.02289</v>
      </c>
      <c r="G316" s="1">
        <v>17.8</v>
      </c>
      <c r="H316" s="8" t="str">
        <f t="shared" si="12"/>
        <v>km/l</v>
      </c>
      <c r="I316" s="2" cm="1">
        <f t="array" ref="I316">_xlfn.IFS(D316="GASOLINA",24,D316="HIBRIDO",24,D316="ELÉCTRICO",5,D316="DIESEL",27)</f>
        <v>24</v>
      </c>
      <c r="J316" s="1">
        <v>139</v>
      </c>
      <c r="K316" s="1">
        <v>123</v>
      </c>
      <c r="L316" s="1">
        <v>132</v>
      </c>
      <c r="M316" t="s">
        <v>34</v>
      </c>
      <c r="N316" s="5" t="s">
        <v>10</v>
      </c>
    </row>
    <row r="317" spans="1:14">
      <c r="A317" s="4">
        <v>1315</v>
      </c>
      <c r="B317" s="5" t="s">
        <v>329</v>
      </c>
      <c r="C317" s="5" t="s">
        <v>334</v>
      </c>
      <c r="D317" s="5" t="s">
        <v>1</v>
      </c>
      <c r="E317" s="1">
        <v>9.6</v>
      </c>
      <c r="F317" s="1">
        <v>15.6</v>
      </c>
      <c r="G317" s="1">
        <v>11.6</v>
      </c>
      <c r="H317" s="8" t="str">
        <f t="shared" si="12"/>
        <v>km/l</v>
      </c>
      <c r="I317" s="2" cm="1">
        <f t="array" ref="I317">_xlfn.IFS(D317="GASOLINA",24,D317="HIBRIDO",24,D317="ELÉCTRICO",5,D317="DIESEL",27)</f>
        <v>24</v>
      </c>
      <c r="J317" s="1">
        <v>244</v>
      </c>
      <c r="K317" s="1">
        <v>150</v>
      </c>
      <c r="L317" s="1">
        <v>202</v>
      </c>
      <c r="M317" t="s">
        <v>40</v>
      </c>
      <c r="N317" s="5" t="s">
        <v>10</v>
      </c>
    </row>
    <row r="318" spans="1:14">
      <c r="A318" s="4">
        <v>1316</v>
      </c>
      <c r="B318" s="5" t="s">
        <v>329</v>
      </c>
      <c r="C318" s="5" t="s">
        <v>335</v>
      </c>
      <c r="D318" s="5" t="s">
        <v>1</v>
      </c>
      <c r="E318" s="1">
        <v>11.6</v>
      </c>
      <c r="F318" s="1">
        <v>14.6</v>
      </c>
      <c r="G318" s="1">
        <v>12.8</v>
      </c>
      <c r="H318" s="8" t="str">
        <f t="shared" si="12"/>
        <v>km/l</v>
      </c>
      <c r="I318" s="2" cm="1">
        <f t="array" ref="I318">_xlfn.IFS(D318="GASOLINA",24,D318="HIBRIDO",24,D318="ELÉCTRICO",5,D318="DIESEL",27)</f>
        <v>24</v>
      </c>
      <c r="J318" s="1">
        <v>202</v>
      </c>
      <c r="K318" s="1">
        <v>160</v>
      </c>
      <c r="L318" s="1">
        <v>183</v>
      </c>
      <c r="M318" t="s">
        <v>40</v>
      </c>
      <c r="N318" s="5" t="s">
        <v>10</v>
      </c>
    </row>
    <row r="319" spans="1:14">
      <c r="A319" s="4">
        <v>1317</v>
      </c>
      <c r="B319" s="5" t="s">
        <v>329</v>
      </c>
      <c r="C319" s="5" t="s">
        <v>336</v>
      </c>
      <c r="D319" s="5" t="s">
        <v>1</v>
      </c>
      <c r="E319" s="1">
        <v>8.1361399999999993</v>
      </c>
      <c r="F319" s="1">
        <v>12.93252</v>
      </c>
      <c r="G319" s="1">
        <v>9.7660397000000003</v>
      </c>
      <c r="H319" s="8" t="str">
        <f t="shared" si="12"/>
        <v>km/l</v>
      </c>
      <c r="I319" s="2" cm="1">
        <f t="array" ref="I319">_xlfn.IFS(D319="GASOLINA",24,D319="HIBRIDO",24,D319="ELÉCTRICO",5,D319="DIESEL",27)</f>
        <v>24</v>
      </c>
      <c r="J319" s="1">
        <v>288</v>
      </c>
      <c r="K319" s="1">
        <v>181</v>
      </c>
      <c r="L319" s="1">
        <v>240</v>
      </c>
      <c r="M319" t="s">
        <v>40</v>
      </c>
      <c r="N319" s="5" t="s">
        <v>10</v>
      </c>
    </row>
    <row r="320" spans="1:14">
      <c r="A320" s="4">
        <v>1318</v>
      </c>
      <c r="B320" s="5" t="s">
        <v>353</v>
      </c>
      <c r="C320" s="5" t="s">
        <v>337</v>
      </c>
      <c r="D320" s="5" t="s">
        <v>1</v>
      </c>
      <c r="E320" s="1">
        <v>16.2</v>
      </c>
      <c r="F320" s="1">
        <v>21.3</v>
      </c>
      <c r="G320" s="1">
        <v>18.2</v>
      </c>
      <c r="H320" s="8" t="str">
        <f t="shared" ref="H320:H336" si="13">IF(D320="ELÉCTRICO","km/kwh",IF(OR(D320="GASOLINA",D320="HIBRIDO",D320="DIESEL"),"km/l","N/D"))</f>
        <v>km/l</v>
      </c>
      <c r="I320" s="2" cm="1">
        <f t="array" ref="I320">_xlfn.IFS(D320="GASOLINA",24,D320="HIBRIDO",24,D320="ELÉCTRICO",5,D320="DIESEL",27)</f>
        <v>24</v>
      </c>
      <c r="J320" s="1">
        <v>144.916</v>
      </c>
      <c r="K320" s="1">
        <v>110.19199999999999</v>
      </c>
      <c r="L320" s="1">
        <v>129.29</v>
      </c>
      <c r="M320" t="s">
        <v>34</v>
      </c>
      <c r="N320" s="5" t="s">
        <v>5</v>
      </c>
    </row>
    <row r="321" spans="1:14">
      <c r="A321" s="4">
        <v>1319</v>
      </c>
      <c r="B321" s="5" t="s">
        <v>353</v>
      </c>
      <c r="C321" s="5" t="s">
        <v>338</v>
      </c>
      <c r="D321" s="5" t="s">
        <v>1</v>
      </c>
      <c r="E321" s="1">
        <v>20.7</v>
      </c>
      <c r="F321" s="1">
        <v>25.3</v>
      </c>
      <c r="G321" s="1">
        <v>22.6</v>
      </c>
      <c r="H321" s="8" t="str">
        <f t="shared" si="13"/>
        <v>km/l</v>
      </c>
      <c r="I321" s="2" cm="1">
        <f t="array" ref="I321">_xlfn.IFS(D321="GASOLINA",24,D321="HIBRIDO",24,D321="ELÉCTRICO",5,D321="DIESEL",27)</f>
        <v>24</v>
      </c>
      <c r="J321" s="1">
        <v>112.92100000000001</v>
      </c>
      <c r="K321" s="1">
        <v>92.433000000000007</v>
      </c>
      <c r="L321" s="1">
        <v>103.70099999999999</v>
      </c>
      <c r="M321" t="s">
        <v>354</v>
      </c>
      <c r="N321" s="5" t="s">
        <v>5</v>
      </c>
    </row>
    <row r="322" spans="1:14">
      <c r="A322" s="4">
        <v>1320</v>
      </c>
      <c r="B322" s="5" t="s">
        <v>353</v>
      </c>
      <c r="C322" s="5" t="s">
        <v>339</v>
      </c>
      <c r="D322" s="5" t="s">
        <v>1</v>
      </c>
      <c r="E322" s="1">
        <v>21.2</v>
      </c>
      <c r="F322" s="1">
        <v>26.6</v>
      </c>
      <c r="G322" s="1">
        <v>23.3</v>
      </c>
      <c r="H322" s="8" t="str">
        <f t="shared" si="13"/>
        <v>km/l</v>
      </c>
      <c r="I322" s="2" cm="1">
        <f t="array" ref="I322">_xlfn.IFS(D322="GASOLINA",24,D322="HIBRIDO",24,D322="ELÉCTRICO",5,D322="DIESEL",27)</f>
        <v>24</v>
      </c>
      <c r="J322" s="1">
        <v>110.43899999999999</v>
      </c>
      <c r="K322" s="1">
        <v>88.088999999999999</v>
      </c>
      <c r="L322" s="1">
        <v>100.38200000000001</v>
      </c>
      <c r="M322" t="s">
        <v>354</v>
      </c>
      <c r="N322" s="5" t="s">
        <v>5</v>
      </c>
    </row>
    <row r="323" spans="1:14">
      <c r="A323" s="4">
        <v>1321</v>
      </c>
      <c r="B323" s="5" t="s">
        <v>353</v>
      </c>
      <c r="C323" s="5" t="s">
        <v>340</v>
      </c>
      <c r="D323" s="5" t="s">
        <v>1</v>
      </c>
      <c r="E323" s="1">
        <v>8.6</v>
      </c>
      <c r="F323" s="1">
        <v>11.3</v>
      </c>
      <c r="G323" s="1">
        <v>9.6</v>
      </c>
      <c r="H323" s="8" t="str">
        <f t="shared" si="13"/>
        <v>km/l</v>
      </c>
      <c r="I323" s="2" cm="1">
        <f t="array" ref="I323">_xlfn.IFS(D323="GASOLINA",24,D323="HIBRIDO",24,D323="ELÉCTRICO",5,D323="DIESEL",27)</f>
        <v>24</v>
      </c>
      <c r="J323" s="1">
        <v>272.87</v>
      </c>
      <c r="K323" s="1">
        <v>207.98599999999999</v>
      </c>
      <c r="L323" s="1">
        <v>243.672</v>
      </c>
      <c r="M323" t="s">
        <v>34</v>
      </c>
      <c r="N323" s="5" t="s">
        <v>2</v>
      </c>
    </row>
    <row r="324" spans="1:14">
      <c r="A324" s="4">
        <v>1322</v>
      </c>
      <c r="B324" s="5" t="s">
        <v>353</v>
      </c>
      <c r="C324" s="5" t="s">
        <v>341</v>
      </c>
      <c r="D324" s="5" t="s">
        <v>57</v>
      </c>
      <c r="E324" s="1">
        <v>12.7</v>
      </c>
      <c r="F324" s="1">
        <v>17</v>
      </c>
      <c r="G324" s="1">
        <v>14.3</v>
      </c>
      <c r="H324" s="8" t="str">
        <f t="shared" si="13"/>
        <v>km/l</v>
      </c>
      <c r="I324" s="2" cm="1">
        <f t="array" ref="I324">_xlfn.IFS(D324="GASOLINA",24,D324="HIBRIDO",24,D324="ELÉCTRICO",5,D324="DIESEL",27)</f>
        <v>27</v>
      </c>
      <c r="J324" s="1">
        <v>212</v>
      </c>
      <c r="K324" s="1">
        <v>158</v>
      </c>
      <c r="L324" s="1">
        <v>187.7</v>
      </c>
      <c r="M324" t="s">
        <v>34</v>
      </c>
      <c r="N324" s="5" t="s">
        <v>10</v>
      </c>
    </row>
    <row r="325" spans="1:14">
      <c r="A325" s="4">
        <v>1323</v>
      </c>
      <c r="B325" s="5" t="s">
        <v>353</v>
      </c>
      <c r="C325" s="5" t="s">
        <v>342</v>
      </c>
      <c r="D325" s="5" t="s">
        <v>57</v>
      </c>
      <c r="E325" s="1">
        <v>12.9</v>
      </c>
      <c r="F325" s="1">
        <v>16.7</v>
      </c>
      <c r="G325" s="1">
        <v>14.4</v>
      </c>
      <c r="H325" s="8" t="str">
        <f t="shared" si="13"/>
        <v>km/l</v>
      </c>
      <c r="I325" s="2" cm="1">
        <f t="array" ref="I325">_xlfn.IFS(D325="GASOLINA",24,D325="HIBRIDO",24,D325="ELÉCTRICO",5,D325="DIESEL",27)</f>
        <v>27</v>
      </c>
      <c r="J325" s="1">
        <v>208</v>
      </c>
      <c r="K325" s="1">
        <v>160.542</v>
      </c>
      <c r="L325" s="1">
        <v>186.64400000000001</v>
      </c>
      <c r="M325" t="s">
        <v>34</v>
      </c>
      <c r="N325" s="5" t="s">
        <v>10</v>
      </c>
    </row>
    <row r="326" spans="1:14">
      <c r="A326" s="4">
        <v>1324</v>
      </c>
      <c r="B326" s="5" t="s">
        <v>353</v>
      </c>
      <c r="C326" s="5" t="s">
        <v>343</v>
      </c>
      <c r="D326" s="5" t="s">
        <v>57</v>
      </c>
      <c r="E326" s="1">
        <v>12.7</v>
      </c>
      <c r="F326" s="1">
        <v>17.3</v>
      </c>
      <c r="G326" s="1">
        <v>14.4</v>
      </c>
      <c r="H326" s="8" t="str">
        <f t="shared" si="13"/>
        <v>km/l</v>
      </c>
      <c r="I326" s="2" cm="1">
        <f t="array" ref="I326">_xlfn.IFS(D326="GASOLINA",24,D326="HIBRIDO",24,D326="ELÉCTRICO",5,D326="DIESEL",27)</f>
        <v>27</v>
      </c>
      <c r="J326" s="1">
        <v>211</v>
      </c>
      <c r="K326" s="1">
        <v>156</v>
      </c>
      <c r="L326" s="1">
        <v>186.3</v>
      </c>
      <c r="M326" t="s">
        <v>34</v>
      </c>
      <c r="N326" s="5" t="s">
        <v>2</v>
      </c>
    </row>
    <row r="327" spans="1:14">
      <c r="A327" s="4">
        <v>1325</v>
      </c>
      <c r="B327" s="5" t="s">
        <v>353</v>
      </c>
      <c r="C327" s="5" t="s">
        <v>344</v>
      </c>
      <c r="D327" s="5" t="s">
        <v>1</v>
      </c>
      <c r="E327" s="1">
        <v>9.3000000000000007</v>
      </c>
      <c r="F327" s="1">
        <v>13.9</v>
      </c>
      <c r="G327" s="1">
        <v>11</v>
      </c>
      <c r="H327" s="8" t="str">
        <f t="shared" si="13"/>
        <v>km/l</v>
      </c>
      <c r="I327" s="2" cm="1">
        <f t="array" ref="I327">_xlfn.IFS(D327="GASOLINA",24,D327="HIBRIDO",24,D327="ELÉCTRICO",5,D327="DIESEL",27)</f>
        <v>24</v>
      </c>
      <c r="J327" s="1">
        <v>250.732</v>
      </c>
      <c r="K327" s="1">
        <v>168.10599999999999</v>
      </c>
      <c r="L327" s="1">
        <v>213.55</v>
      </c>
      <c r="M327" t="s">
        <v>40</v>
      </c>
      <c r="N327" s="5" t="s">
        <v>10</v>
      </c>
    </row>
    <row r="328" spans="1:14">
      <c r="A328" s="4">
        <v>1326</v>
      </c>
      <c r="B328" s="5" t="s">
        <v>353</v>
      </c>
      <c r="C328" s="5" t="s">
        <v>345</v>
      </c>
      <c r="D328" s="5" t="s">
        <v>1</v>
      </c>
      <c r="E328" s="1">
        <v>9.6</v>
      </c>
      <c r="F328" s="1">
        <v>14.4</v>
      </c>
      <c r="G328" s="1">
        <v>11.3</v>
      </c>
      <c r="H328" s="8" t="str">
        <f t="shared" si="13"/>
        <v>km/l</v>
      </c>
      <c r="I328" s="2" cm="1">
        <f t="array" ref="I328">_xlfn.IFS(D328="GASOLINA",24,D328="HIBRIDO",24,D328="ELÉCTRICO",5,D328="DIESEL",27)</f>
        <v>24</v>
      </c>
      <c r="J328" s="1">
        <v>243.03100000000001</v>
      </c>
      <c r="K328" s="1">
        <v>163.083</v>
      </c>
      <c r="L328" s="1">
        <v>207.054</v>
      </c>
      <c r="M328" t="s">
        <v>40</v>
      </c>
      <c r="N328" s="5" t="s">
        <v>10</v>
      </c>
    </row>
    <row r="329" spans="1:14">
      <c r="A329" s="4">
        <v>1327</v>
      </c>
      <c r="B329" s="5" t="s">
        <v>353</v>
      </c>
      <c r="C329" s="5" t="s">
        <v>346</v>
      </c>
      <c r="D329" s="5" t="s">
        <v>1</v>
      </c>
      <c r="E329" s="1">
        <v>16.2</v>
      </c>
      <c r="F329" s="1">
        <v>21.3</v>
      </c>
      <c r="G329" s="1">
        <v>18.2</v>
      </c>
      <c r="H329" s="8" t="str">
        <f t="shared" si="13"/>
        <v>km/l</v>
      </c>
      <c r="I329" s="2" cm="1">
        <f t="array" ref="I329">_xlfn.IFS(D329="GASOLINA",24,D329="HIBRIDO",24,D329="ELÉCTRICO",5,D329="DIESEL",27)</f>
        <v>24</v>
      </c>
      <c r="J329" s="1">
        <v>144.916</v>
      </c>
      <c r="K329" s="1">
        <v>110.19199999999999</v>
      </c>
      <c r="L329" s="1">
        <v>129.29</v>
      </c>
      <c r="M329" t="s">
        <v>34</v>
      </c>
      <c r="N329" s="5" t="s">
        <v>5</v>
      </c>
    </row>
    <row r="330" spans="1:14">
      <c r="A330" s="4">
        <v>1328</v>
      </c>
      <c r="B330" s="5" t="s">
        <v>353</v>
      </c>
      <c r="C330" s="5" t="s">
        <v>347</v>
      </c>
      <c r="D330" s="5" t="s">
        <v>1</v>
      </c>
      <c r="E330" s="1">
        <v>14.3</v>
      </c>
      <c r="F330" s="1">
        <v>19</v>
      </c>
      <c r="G330" s="1">
        <v>16.2</v>
      </c>
      <c r="H330" s="8" t="str">
        <f t="shared" si="13"/>
        <v>km/l</v>
      </c>
      <c r="I330" s="2" cm="1">
        <f t="array" ref="I330">_xlfn.IFS(D330="GASOLINA",24,D330="HIBRIDO",24,D330="ELÉCTRICO",5,D330="DIESEL",27)</f>
        <v>24</v>
      </c>
      <c r="J330" s="1">
        <v>164.6</v>
      </c>
      <c r="K330" s="1">
        <v>121.2</v>
      </c>
      <c r="L330" s="1">
        <v>145.1</v>
      </c>
      <c r="M330" t="s">
        <v>34</v>
      </c>
      <c r="N330" s="5" t="s">
        <v>10</v>
      </c>
    </row>
    <row r="331" spans="1:14">
      <c r="A331" s="4">
        <v>1329</v>
      </c>
      <c r="B331" s="5" t="s">
        <v>353</v>
      </c>
      <c r="C331" s="5" t="s">
        <v>348</v>
      </c>
      <c r="D331" s="5" t="s">
        <v>1</v>
      </c>
      <c r="E331" s="1">
        <v>14.3</v>
      </c>
      <c r="F331" s="1">
        <v>19</v>
      </c>
      <c r="G331" s="1">
        <v>16.2</v>
      </c>
      <c r="H331" s="8" t="str">
        <f t="shared" si="13"/>
        <v>km/l</v>
      </c>
      <c r="I331" s="2" cm="1">
        <f t="array" ref="I331">_xlfn.IFS(D331="GASOLINA",24,D331="HIBRIDO",24,D331="ELÉCTRICO",5,D331="DIESEL",27)</f>
        <v>24</v>
      </c>
      <c r="J331" s="1">
        <v>164.6</v>
      </c>
      <c r="K331" s="1">
        <v>121.2</v>
      </c>
      <c r="L331" s="1">
        <v>145.1</v>
      </c>
      <c r="M331" t="s">
        <v>34</v>
      </c>
      <c r="N331" s="5" t="s">
        <v>10</v>
      </c>
    </row>
    <row r="332" spans="1:14">
      <c r="A332" s="4">
        <v>1330</v>
      </c>
      <c r="B332" s="5" t="s">
        <v>353</v>
      </c>
      <c r="C332" s="5" t="s">
        <v>349</v>
      </c>
      <c r="D332" s="5" t="s">
        <v>1</v>
      </c>
      <c r="E332" s="1">
        <v>14</v>
      </c>
      <c r="F332" s="1">
        <v>19.600000000000001</v>
      </c>
      <c r="G332" s="1">
        <v>16.100000000000001</v>
      </c>
      <c r="H332" s="8" t="str">
        <f t="shared" si="13"/>
        <v>km/l</v>
      </c>
      <c r="I332" s="2" cm="1">
        <f t="array" ref="I332">_xlfn.IFS(D332="GASOLINA",24,D332="HIBRIDO",24,D332="ELÉCTRICO",5,D332="DIESEL",27)</f>
        <v>24</v>
      </c>
      <c r="J332" s="1">
        <v>168</v>
      </c>
      <c r="K332" s="1">
        <v>119.4</v>
      </c>
      <c r="L332" s="1">
        <v>146.1</v>
      </c>
      <c r="M332" t="s">
        <v>34</v>
      </c>
      <c r="N332" s="5" t="s">
        <v>5</v>
      </c>
    </row>
    <row r="333" spans="1:14">
      <c r="A333" s="4">
        <v>1331</v>
      </c>
      <c r="B333" s="5" t="s">
        <v>353</v>
      </c>
      <c r="C333" s="5" t="s">
        <v>350</v>
      </c>
      <c r="D333" s="5" t="s">
        <v>1</v>
      </c>
      <c r="E333" s="1">
        <v>13.5</v>
      </c>
      <c r="F333" s="1">
        <v>19</v>
      </c>
      <c r="G333" s="1">
        <v>15.5</v>
      </c>
      <c r="H333" s="8" t="str">
        <f t="shared" si="13"/>
        <v>km/l</v>
      </c>
      <c r="I333" s="2" cm="1">
        <f t="array" ref="I333">_xlfn.IFS(D333="GASOLINA",24,D333="HIBRIDO",24,D333="ELÉCTRICO",5,D333="DIESEL",27)</f>
        <v>24</v>
      </c>
      <c r="J333" s="1">
        <v>174.4</v>
      </c>
      <c r="K333" s="1">
        <v>123.2</v>
      </c>
      <c r="L333" s="1">
        <v>151.30000000000001</v>
      </c>
      <c r="M333" t="s">
        <v>34</v>
      </c>
      <c r="N333" s="5" t="s">
        <v>5</v>
      </c>
    </row>
    <row r="334" spans="1:14">
      <c r="A334" s="4">
        <v>1332</v>
      </c>
      <c r="B334" s="5" t="s">
        <v>353</v>
      </c>
      <c r="C334" s="5" t="s">
        <v>351</v>
      </c>
      <c r="D334" s="5" t="s">
        <v>1</v>
      </c>
      <c r="E334" s="1">
        <v>13.5</v>
      </c>
      <c r="F334" s="1">
        <v>19</v>
      </c>
      <c r="G334" s="1">
        <v>15.5</v>
      </c>
      <c r="H334" s="8" t="str">
        <f t="shared" si="13"/>
        <v>km/l</v>
      </c>
      <c r="I334" s="2" cm="1">
        <f t="array" ref="I334">_xlfn.IFS(D334="GASOLINA",24,D334="HIBRIDO",24,D334="ELÉCTRICO",5,D334="DIESEL",27)</f>
        <v>24</v>
      </c>
      <c r="J334" s="1">
        <v>174.4</v>
      </c>
      <c r="K334" s="1">
        <v>123.2</v>
      </c>
      <c r="L334" s="1">
        <v>151.30000000000001</v>
      </c>
      <c r="M334" t="s">
        <v>34</v>
      </c>
      <c r="N334" s="5" t="s">
        <v>5</v>
      </c>
    </row>
    <row r="335" spans="1:14">
      <c r="A335" s="4">
        <v>1333</v>
      </c>
      <c r="B335" s="5" t="s">
        <v>353</v>
      </c>
      <c r="C335" s="5" t="s">
        <v>352</v>
      </c>
      <c r="D335" s="5" t="s">
        <v>1</v>
      </c>
      <c r="E335" s="1">
        <v>14</v>
      </c>
      <c r="F335" s="1">
        <v>19.600000000000001</v>
      </c>
      <c r="G335" s="1">
        <v>16.100000000000001</v>
      </c>
      <c r="H335" s="8" t="str">
        <f t="shared" si="13"/>
        <v>km/l</v>
      </c>
      <c r="I335" s="2" cm="1">
        <f t="array" ref="I335">_xlfn.IFS(D335="GASOLINA",24,D335="HIBRIDO",24,D335="ELÉCTRICO",5,D335="DIESEL",27)</f>
        <v>24</v>
      </c>
      <c r="J335" s="1">
        <v>168</v>
      </c>
      <c r="K335" s="1">
        <v>119.4</v>
      </c>
      <c r="L335" s="1">
        <v>146.1</v>
      </c>
      <c r="M335" t="s">
        <v>34</v>
      </c>
      <c r="N335" s="5" t="s">
        <v>5</v>
      </c>
    </row>
    <row r="336" spans="1:14">
      <c r="A336" s="4">
        <v>1334</v>
      </c>
      <c r="B336" s="5" t="s">
        <v>364</v>
      </c>
      <c r="C336" s="5" t="s">
        <v>355</v>
      </c>
      <c r="D336" s="5" t="s">
        <v>1</v>
      </c>
      <c r="E336" s="1">
        <v>10.5</v>
      </c>
      <c r="F336" s="1">
        <v>16.3</v>
      </c>
      <c r="G336" s="1">
        <v>12.5018262</v>
      </c>
      <c r="H336" s="8" t="str">
        <f t="shared" si="13"/>
        <v>km/l</v>
      </c>
      <c r="I336" s="2" cm="1">
        <f t="array" ref="I336">_xlfn.IFS(D336="GASOLINA",24,D336="HIBRIDO",24,D336="ELÉCTRICO",5,D336="DIESEL",27)</f>
        <v>24</v>
      </c>
      <c r="J336" s="1">
        <v>223</v>
      </c>
      <c r="K336" s="1">
        <v>144</v>
      </c>
      <c r="L336" s="1">
        <v>187</v>
      </c>
      <c r="M336" t="s">
        <v>40</v>
      </c>
      <c r="N336" s="5" t="s">
        <v>10</v>
      </c>
    </row>
    <row r="337" spans="1:14">
      <c r="A337" s="4">
        <v>1335</v>
      </c>
      <c r="B337" s="5" t="s">
        <v>364</v>
      </c>
      <c r="C337" s="5" t="s">
        <v>356</v>
      </c>
      <c r="D337" s="5" t="s">
        <v>1</v>
      </c>
      <c r="E337" s="1">
        <v>17.100000000000001</v>
      </c>
      <c r="F337" s="1">
        <v>21.8</v>
      </c>
      <c r="G337" s="1">
        <v>18.937261899999999</v>
      </c>
      <c r="H337" s="8" t="str">
        <f t="shared" ref="H337:H344" si="14">IF(D337="ELÉCTRICO","km/kwh",IF(OR(D337="GASOLINA",D337="HIBRIDO",D337="DIESEL"),"km/l","N/D"))</f>
        <v>km/l</v>
      </c>
      <c r="I337" s="2" cm="1">
        <f t="array" ref="I337">_xlfn.IFS(D337="GASOLINA",24,D337="HIBRIDO",24,D337="ELÉCTRICO",5,D337="DIESEL",27)</f>
        <v>24</v>
      </c>
      <c r="J337" s="1">
        <v>137</v>
      </c>
      <c r="K337" s="1">
        <v>107</v>
      </c>
      <c r="L337" s="1">
        <v>124</v>
      </c>
      <c r="M337" t="s">
        <v>354</v>
      </c>
      <c r="N337" s="5" t="s">
        <v>2</v>
      </c>
    </row>
    <row r="338" spans="1:14">
      <c r="A338" s="4">
        <v>1336</v>
      </c>
      <c r="B338" s="5" t="s">
        <v>364</v>
      </c>
      <c r="C338" s="5" t="s">
        <v>357</v>
      </c>
      <c r="D338" s="5" t="s">
        <v>1</v>
      </c>
      <c r="E338" s="1">
        <v>16.16</v>
      </c>
      <c r="F338" s="1">
        <v>20.190000000000001</v>
      </c>
      <c r="G338" s="1">
        <v>17.754762899999999</v>
      </c>
      <c r="H338" s="8" t="str">
        <f t="shared" si="14"/>
        <v>km/l</v>
      </c>
      <c r="I338" s="2" cm="1">
        <f t="array" ref="I338">_xlfn.IFS(D338="GASOLINA",24,D338="HIBRIDO",24,D338="ELÉCTRICO",5,D338="DIESEL",27)</f>
        <v>24</v>
      </c>
      <c r="J338" s="1">
        <v>145</v>
      </c>
      <c r="K338" s="1">
        <v>116</v>
      </c>
      <c r="L338" s="1">
        <v>132</v>
      </c>
      <c r="M338" t="s">
        <v>354</v>
      </c>
      <c r="N338" s="5" t="s">
        <v>5</v>
      </c>
    </row>
    <row r="339" spans="1:14">
      <c r="A339" s="4">
        <v>1337</v>
      </c>
      <c r="B339" s="5" t="s">
        <v>364</v>
      </c>
      <c r="C339" s="5" t="s">
        <v>358</v>
      </c>
      <c r="D339" s="5" t="s">
        <v>1</v>
      </c>
      <c r="E339" s="1">
        <v>13.7</v>
      </c>
      <c r="F339" s="1">
        <v>19.5</v>
      </c>
      <c r="G339" s="1">
        <v>15.8170515</v>
      </c>
      <c r="H339" s="8" t="str">
        <f t="shared" si="14"/>
        <v>km/l</v>
      </c>
      <c r="I339" s="2" cm="1">
        <f t="array" ref="I339">_xlfn.IFS(D339="GASOLINA",24,D339="HIBRIDO",24,D339="ELÉCTRICO",5,D339="DIESEL",27)</f>
        <v>24</v>
      </c>
      <c r="J339" s="1">
        <v>171</v>
      </c>
      <c r="K339" s="1">
        <v>120</v>
      </c>
      <c r="L339" s="1">
        <v>148</v>
      </c>
      <c r="M339" t="s">
        <v>34</v>
      </c>
      <c r="N339" s="5" t="s">
        <v>5</v>
      </c>
    </row>
    <row r="340" spans="1:14">
      <c r="A340" s="4">
        <v>1338</v>
      </c>
      <c r="B340" s="5" t="s">
        <v>364</v>
      </c>
      <c r="C340" s="5" t="s">
        <v>359</v>
      </c>
      <c r="D340" s="5" t="s">
        <v>17</v>
      </c>
      <c r="E340" s="1">
        <v>21.8</v>
      </c>
      <c r="F340" s="1">
        <v>19.899999999999999</v>
      </c>
      <c r="G340" s="1">
        <v>20.9019513</v>
      </c>
      <c r="H340" s="8" t="str">
        <f t="shared" si="14"/>
        <v>km/l</v>
      </c>
      <c r="I340" s="2" cm="1">
        <f t="array" ref="I340">_xlfn.IFS(D340="GASOLINA",24,D340="HIBRIDO",24,D340="ELÉCTRICO",5,D340="DIESEL",27)</f>
        <v>24</v>
      </c>
      <c r="J340" s="1">
        <v>107</v>
      </c>
      <c r="K340" s="1">
        <v>118</v>
      </c>
      <c r="L340" s="1">
        <v>112</v>
      </c>
      <c r="M340" t="s">
        <v>354</v>
      </c>
      <c r="N340" s="5" t="s">
        <v>489</v>
      </c>
    </row>
    <row r="341" spans="1:14">
      <c r="A341" s="4">
        <v>1339</v>
      </c>
      <c r="B341" s="5" t="s">
        <v>364</v>
      </c>
      <c r="C341" s="5" t="s">
        <v>360</v>
      </c>
      <c r="D341" s="5" t="s">
        <v>1</v>
      </c>
      <c r="E341" s="1">
        <v>16.829999999999998</v>
      </c>
      <c r="F341" s="1">
        <v>21.46</v>
      </c>
      <c r="G341" s="1">
        <v>18.639682100000002</v>
      </c>
      <c r="H341" s="8" t="str">
        <f t="shared" si="14"/>
        <v>km/l</v>
      </c>
      <c r="I341" s="2" cm="1">
        <f t="array" ref="I341">_xlfn.IFS(D341="GASOLINA",24,D341="HIBRIDO",24,D341="ELÉCTRICO",5,D341="DIESEL",27)</f>
        <v>24</v>
      </c>
      <c r="J341" s="1">
        <v>139</v>
      </c>
      <c r="K341" s="1">
        <v>109</v>
      </c>
      <c r="L341" s="1">
        <v>126</v>
      </c>
      <c r="M341" t="s">
        <v>34</v>
      </c>
      <c r="N341" s="5" t="s">
        <v>5</v>
      </c>
    </row>
    <row r="342" spans="1:14">
      <c r="A342" s="4">
        <v>1340</v>
      </c>
      <c r="B342" s="5" t="s">
        <v>364</v>
      </c>
      <c r="C342" s="5" t="s">
        <v>361</v>
      </c>
      <c r="D342" s="5" t="s">
        <v>1</v>
      </c>
      <c r="E342" s="1">
        <v>8.75</v>
      </c>
      <c r="F342" s="1">
        <v>11.56</v>
      </c>
      <c r="G342" s="1">
        <v>9.8246806899999992</v>
      </c>
      <c r="H342" s="8" t="str">
        <f t="shared" si="14"/>
        <v>km/l</v>
      </c>
      <c r="I342" s="2" cm="1">
        <f t="array" ref="I342">_xlfn.IFS(D342="GASOLINA",24,D342="HIBRIDO",24,D342="ELÉCTRICO",5,D342="DIESEL",27)</f>
        <v>24</v>
      </c>
      <c r="J342" s="1">
        <v>268</v>
      </c>
      <c r="K342" s="1">
        <v>203</v>
      </c>
      <c r="L342" s="1">
        <v>239</v>
      </c>
      <c r="M342" t="s">
        <v>40</v>
      </c>
      <c r="N342" s="5" t="s">
        <v>10</v>
      </c>
    </row>
    <row r="343" spans="1:14">
      <c r="A343" s="4">
        <v>1341</v>
      </c>
      <c r="B343" s="5" t="s">
        <v>364</v>
      </c>
      <c r="C343" s="5" t="s">
        <v>362</v>
      </c>
      <c r="D343" s="5" t="s">
        <v>17</v>
      </c>
      <c r="E343" s="1">
        <v>24.8</v>
      </c>
      <c r="F343" s="1">
        <v>21.7</v>
      </c>
      <c r="G343" s="1">
        <v>23.3020134</v>
      </c>
      <c r="H343" s="8" t="str">
        <f t="shared" si="14"/>
        <v>km/l</v>
      </c>
      <c r="I343" s="2" cm="1">
        <f t="array" ref="I343">_xlfn.IFS(D343="GASOLINA",24,D343="HIBRIDO",24,D343="ELÉCTRICO",5,D343="DIESEL",27)</f>
        <v>24</v>
      </c>
      <c r="J343" s="1">
        <v>94</v>
      </c>
      <c r="K343" s="1">
        <v>108</v>
      </c>
      <c r="L343" s="1">
        <v>100</v>
      </c>
      <c r="M343" t="s">
        <v>354</v>
      </c>
      <c r="N343" s="5" t="s">
        <v>489</v>
      </c>
    </row>
    <row r="344" spans="1:14">
      <c r="A344" s="4">
        <v>1342</v>
      </c>
      <c r="B344" s="5" t="s">
        <v>364</v>
      </c>
      <c r="C344" s="5" t="s">
        <v>363</v>
      </c>
      <c r="D344" s="5" t="s">
        <v>1</v>
      </c>
      <c r="E344" s="1">
        <v>13.6</v>
      </c>
      <c r="F344" s="1">
        <v>19.2</v>
      </c>
      <c r="G344" s="1">
        <v>15.6546763</v>
      </c>
      <c r="H344" s="8" t="str">
        <f t="shared" si="14"/>
        <v>km/l</v>
      </c>
      <c r="I344" s="2" cm="1">
        <f t="array" ref="I344">_xlfn.IFS(D344="GASOLINA",24,D344="HIBRIDO",24,D344="ELÉCTRICO",5,D344="DIESEL",27)</f>
        <v>24</v>
      </c>
      <c r="J344" s="1">
        <v>172</v>
      </c>
      <c r="K344" s="1">
        <v>122</v>
      </c>
      <c r="L344" s="1">
        <v>150</v>
      </c>
      <c r="M344" t="s">
        <v>34</v>
      </c>
      <c r="N344" s="5" t="s">
        <v>5</v>
      </c>
    </row>
    <row r="345" spans="1:14">
      <c r="A345" s="4">
        <v>1343</v>
      </c>
      <c r="B345" s="5" t="s">
        <v>364</v>
      </c>
      <c r="C345" s="5" t="s">
        <v>365</v>
      </c>
      <c r="D345" s="5" t="s">
        <v>1</v>
      </c>
      <c r="E345" s="1">
        <v>9.9600000000000009</v>
      </c>
      <c r="F345" s="1">
        <v>13.94</v>
      </c>
      <c r="G345" s="1">
        <v>11.4282986</v>
      </c>
      <c r="H345" s="8" t="str">
        <f t="shared" ref="H345:H361" si="15">IF(D345="ELÉCTRICO","km/kwh",IF(OR(D345="GASOLINA",D345="HIBRIDO",D345="DIESEL"),"km/l","N/D"))</f>
        <v>km/l</v>
      </c>
      <c r="I345" s="2" cm="1">
        <f t="array" ref="I345">_xlfn.IFS(D345="GASOLINA",24,D345="HIBRIDO",24,D345="ELÉCTRICO",5,D345="DIESEL",27)</f>
        <v>24</v>
      </c>
      <c r="J345" s="1">
        <v>235</v>
      </c>
      <c r="K345" s="1">
        <v>168</v>
      </c>
      <c r="L345" s="1">
        <v>205</v>
      </c>
      <c r="M345" t="s">
        <v>34</v>
      </c>
      <c r="N345" s="5" t="s">
        <v>2</v>
      </c>
    </row>
    <row r="346" spans="1:14">
      <c r="A346" s="4">
        <v>1344</v>
      </c>
      <c r="B346" s="5" t="s">
        <v>364</v>
      </c>
      <c r="C346" s="5" t="s">
        <v>366</v>
      </c>
      <c r="D346" s="5" t="s">
        <v>1</v>
      </c>
      <c r="E346" s="1">
        <v>9.9700000000000006</v>
      </c>
      <c r="F346" s="1">
        <v>14.29</v>
      </c>
      <c r="G346" s="1">
        <v>11.5398753</v>
      </c>
      <c r="H346" s="8" t="str">
        <f t="shared" si="15"/>
        <v>km/l</v>
      </c>
      <c r="I346" s="2" cm="1">
        <f t="array" ref="I346">_xlfn.IFS(D346="GASOLINA",24,D346="HIBRIDO",24,D346="ELÉCTRICO",5,D346="DIESEL",27)</f>
        <v>24</v>
      </c>
      <c r="J346" s="1">
        <v>235</v>
      </c>
      <c r="K346" s="1">
        <v>164</v>
      </c>
      <c r="L346" s="1">
        <v>203</v>
      </c>
      <c r="M346" t="s">
        <v>34</v>
      </c>
      <c r="N346" s="5" t="s">
        <v>2</v>
      </c>
    </row>
    <row r="347" spans="1:14">
      <c r="A347" s="4">
        <v>1345</v>
      </c>
      <c r="B347" s="5" t="s">
        <v>364</v>
      </c>
      <c r="C347" s="5" t="s">
        <v>367</v>
      </c>
      <c r="D347" s="5" t="s">
        <v>1</v>
      </c>
      <c r="E347" s="1">
        <v>9.6199999999999992</v>
      </c>
      <c r="F347" s="1">
        <v>13.18</v>
      </c>
      <c r="G347" s="1">
        <v>10.9510796</v>
      </c>
      <c r="H347" s="8" t="str">
        <f t="shared" si="15"/>
        <v>km/l</v>
      </c>
      <c r="I347" s="2" cm="1">
        <f t="array" ref="I347">_xlfn.IFS(D347="GASOLINA",24,D347="HIBRIDO",24,D347="ELÉCTRICO",5,D347="DIESEL",27)</f>
        <v>24</v>
      </c>
      <c r="J347" s="1">
        <v>244</v>
      </c>
      <c r="K347" s="1">
        <v>178</v>
      </c>
      <c r="L347" s="1">
        <v>214</v>
      </c>
      <c r="M347" t="s">
        <v>34</v>
      </c>
      <c r="N347" s="5" t="s">
        <v>10</v>
      </c>
    </row>
    <row r="348" spans="1:14">
      <c r="A348" s="4">
        <v>1346</v>
      </c>
      <c r="B348" s="5" t="s">
        <v>364</v>
      </c>
      <c r="C348" s="5" t="s">
        <v>375</v>
      </c>
      <c r="D348" s="5" t="s">
        <v>57</v>
      </c>
      <c r="E348" s="1">
        <v>12.01</v>
      </c>
      <c r="F348" s="1">
        <v>14.19</v>
      </c>
      <c r="G348" s="1">
        <v>12.901953199999999</v>
      </c>
      <c r="H348" s="8" t="str">
        <f t="shared" si="15"/>
        <v>km/l</v>
      </c>
      <c r="I348" s="2" cm="1">
        <f t="array" ref="I348">_xlfn.IFS(D348="GASOLINA",24,D348="HIBRIDO",24,D348="ELÉCTRICO",5,D348="DIESEL",27)</f>
        <v>27</v>
      </c>
      <c r="J348" s="1">
        <v>223</v>
      </c>
      <c r="K348" s="1">
        <v>189</v>
      </c>
      <c r="L348" s="1">
        <v>208</v>
      </c>
      <c r="M348" t="s">
        <v>34</v>
      </c>
      <c r="N348" s="5" t="s">
        <v>2</v>
      </c>
    </row>
    <row r="349" spans="1:14">
      <c r="A349" s="4">
        <v>1347</v>
      </c>
      <c r="B349" s="5" t="s">
        <v>364</v>
      </c>
      <c r="C349" s="5" t="s">
        <v>368</v>
      </c>
      <c r="D349" s="5" t="s">
        <v>57</v>
      </c>
      <c r="E349" s="1">
        <v>11.07</v>
      </c>
      <c r="F349" s="1">
        <v>14.87</v>
      </c>
      <c r="G349" s="1">
        <v>12.5084271</v>
      </c>
      <c r="H349" s="8" t="str">
        <f t="shared" si="15"/>
        <v>km/l</v>
      </c>
      <c r="I349" s="2" cm="1">
        <f t="array" ref="I349">_xlfn.IFS(D349="GASOLINA",24,D349="HIBRIDO",24,D349="ELÉCTRICO",5,D349="DIESEL",27)</f>
        <v>27</v>
      </c>
      <c r="J349" s="1">
        <v>242</v>
      </c>
      <c r="K349" s="1">
        <v>180</v>
      </c>
      <c r="L349" s="1">
        <v>214</v>
      </c>
      <c r="M349" t="s">
        <v>34</v>
      </c>
      <c r="N349" s="5" t="s">
        <v>10</v>
      </c>
    </row>
    <row r="350" spans="1:14">
      <c r="A350" s="4">
        <v>1348</v>
      </c>
      <c r="B350" s="5" t="s">
        <v>364</v>
      </c>
      <c r="C350" s="5" t="s">
        <v>369</v>
      </c>
      <c r="D350" s="5" t="s">
        <v>57</v>
      </c>
      <c r="E350" s="1">
        <v>12.81</v>
      </c>
      <c r="F350" s="1">
        <v>15.17</v>
      </c>
      <c r="G350" s="1">
        <v>13.7742912</v>
      </c>
      <c r="H350" s="8" t="str">
        <f t="shared" si="15"/>
        <v>km/l</v>
      </c>
      <c r="I350" s="2" cm="1">
        <f t="array" ref="I350">_xlfn.IFS(D350="GASOLINA",24,D350="HIBRIDO",24,D350="ELÉCTRICO",5,D350="DIESEL",27)</f>
        <v>27</v>
      </c>
      <c r="J350" s="1">
        <v>209</v>
      </c>
      <c r="K350" s="1">
        <v>177</v>
      </c>
      <c r="L350" s="1">
        <v>195</v>
      </c>
      <c r="M350" t="s">
        <v>34</v>
      </c>
      <c r="N350" s="5" t="s">
        <v>2</v>
      </c>
    </row>
    <row r="351" spans="1:14">
      <c r="A351" s="4">
        <v>1349</v>
      </c>
      <c r="B351" s="5" t="s">
        <v>364</v>
      </c>
      <c r="C351" s="5" t="s">
        <v>370</v>
      </c>
      <c r="D351" s="5" t="s">
        <v>1</v>
      </c>
      <c r="E351" s="1">
        <v>16.420000000000002</v>
      </c>
      <c r="F351" s="1">
        <v>21.19</v>
      </c>
      <c r="G351" s="1">
        <v>18.270790600000002</v>
      </c>
      <c r="H351" s="8" t="str">
        <f t="shared" si="15"/>
        <v>km/l</v>
      </c>
      <c r="I351" s="2" cm="1">
        <f t="array" ref="I351">_xlfn.IFS(D351="GASOLINA",24,D351="HIBRIDO",24,D351="ELÉCTRICO",5,D351="DIESEL",27)</f>
        <v>24</v>
      </c>
      <c r="J351" s="1">
        <v>142</v>
      </c>
      <c r="K351" s="1">
        <v>110</v>
      </c>
      <c r="L351" s="1">
        <v>128</v>
      </c>
      <c r="M351" t="s">
        <v>34</v>
      </c>
      <c r="N351" s="5" t="s">
        <v>5</v>
      </c>
    </row>
    <row r="352" spans="1:14">
      <c r="A352" s="4">
        <v>1350</v>
      </c>
      <c r="B352" s="5" t="s">
        <v>364</v>
      </c>
      <c r="C352" s="5" t="s">
        <v>358</v>
      </c>
      <c r="D352" s="5" t="s">
        <v>1</v>
      </c>
      <c r="E352" s="1">
        <v>13.7</v>
      </c>
      <c r="F352" s="1">
        <v>19.5</v>
      </c>
      <c r="G352" s="1">
        <v>15.8170515</v>
      </c>
      <c r="H352" s="8" t="str">
        <f t="shared" si="15"/>
        <v>km/l</v>
      </c>
      <c r="I352" s="2" cm="1">
        <f t="array" ref="I352">_xlfn.IFS(D352="GASOLINA",24,D352="HIBRIDO",24,D352="ELÉCTRICO",5,D352="DIESEL",27)</f>
        <v>24</v>
      </c>
      <c r="J352" s="1">
        <v>171</v>
      </c>
      <c r="K352" s="1">
        <v>120</v>
      </c>
      <c r="L352" s="1">
        <v>148</v>
      </c>
      <c r="M352" t="s">
        <v>34</v>
      </c>
      <c r="N352" s="5" t="s">
        <v>5</v>
      </c>
    </row>
    <row r="353" spans="1:14">
      <c r="A353" s="4">
        <v>1351</v>
      </c>
      <c r="B353" s="5" t="s">
        <v>364</v>
      </c>
      <c r="C353" s="5" t="s">
        <v>363</v>
      </c>
      <c r="D353" s="5" t="s">
        <v>1</v>
      </c>
      <c r="E353" s="1">
        <v>13.6</v>
      </c>
      <c r="F353" s="1">
        <v>19.2</v>
      </c>
      <c r="G353" s="1">
        <v>15.6546763</v>
      </c>
      <c r="H353" s="8" t="str">
        <f t="shared" si="15"/>
        <v>km/l</v>
      </c>
      <c r="I353" s="2" cm="1">
        <f t="array" ref="I353">_xlfn.IFS(D353="GASOLINA",24,D353="HIBRIDO",24,D353="ELÉCTRICO",5,D353="DIESEL",27)</f>
        <v>24</v>
      </c>
      <c r="J353" s="1">
        <v>172</v>
      </c>
      <c r="K353" s="1">
        <v>122</v>
      </c>
      <c r="L353" s="1">
        <v>150</v>
      </c>
      <c r="M353" t="s">
        <v>34</v>
      </c>
      <c r="N353" s="5" t="s">
        <v>5</v>
      </c>
    </row>
    <row r="354" spans="1:14">
      <c r="A354" s="4">
        <v>1352</v>
      </c>
      <c r="B354" s="5" t="s">
        <v>364</v>
      </c>
      <c r="C354" s="5" t="s">
        <v>359</v>
      </c>
      <c r="D354" s="5" t="s">
        <v>17</v>
      </c>
      <c r="E354" s="1">
        <v>21.8</v>
      </c>
      <c r="F354" s="1">
        <v>19.899999999999999</v>
      </c>
      <c r="G354" s="1">
        <v>20.9019513</v>
      </c>
      <c r="H354" s="8" t="str">
        <f t="shared" si="15"/>
        <v>km/l</v>
      </c>
      <c r="I354" s="2" cm="1">
        <f t="array" ref="I354">_xlfn.IFS(D354="GASOLINA",24,D354="HIBRIDO",24,D354="ELÉCTRICO",5,D354="DIESEL",27)</f>
        <v>24</v>
      </c>
      <c r="J354" s="1">
        <v>107</v>
      </c>
      <c r="K354" s="1">
        <v>118</v>
      </c>
      <c r="L354" s="1">
        <v>112</v>
      </c>
      <c r="M354" t="s">
        <v>354</v>
      </c>
      <c r="N354" s="5" t="s">
        <v>489</v>
      </c>
    </row>
    <row r="355" spans="1:14">
      <c r="A355" s="4">
        <v>1353</v>
      </c>
      <c r="B355" s="5" t="s">
        <v>364</v>
      </c>
      <c r="C355" s="5" t="s">
        <v>360</v>
      </c>
      <c r="D355" s="5" t="s">
        <v>1</v>
      </c>
      <c r="E355" s="1">
        <v>16.829999999999998</v>
      </c>
      <c r="F355" s="1">
        <v>21.46</v>
      </c>
      <c r="G355" s="1">
        <v>18.639682100000002</v>
      </c>
      <c r="H355" s="8" t="str">
        <f t="shared" si="15"/>
        <v>km/l</v>
      </c>
      <c r="I355" s="2" cm="1">
        <f t="array" ref="I355">_xlfn.IFS(D355="GASOLINA",24,D355="HIBRIDO",24,D355="ELÉCTRICO",5,D355="DIESEL",27)</f>
        <v>24</v>
      </c>
      <c r="J355" s="1">
        <v>139</v>
      </c>
      <c r="K355" s="1">
        <v>109</v>
      </c>
      <c r="L355" s="1">
        <v>126</v>
      </c>
      <c r="M355" t="s">
        <v>34</v>
      </c>
      <c r="N355" s="5" t="s">
        <v>5</v>
      </c>
    </row>
    <row r="356" spans="1:14">
      <c r="A356" s="4">
        <v>1354</v>
      </c>
      <c r="B356" s="5" t="s">
        <v>364</v>
      </c>
      <c r="C356" s="5" t="s">
        <v>371</v>
      </c>
      <c r="D356" s="5" t="s">
        <v>1</v>
      </c>
      <c r="E356" s="1">
        <v>8.75</v>
      </c>
      <c r="F356" s="1">
        <v>11.56</v>
      </c>
      <c r="G356" s="1">
        <v>9.8246806899999992</v>
      </c>
      <c r="H356" s="8" t="str">
        <f t="shared" si="15"/>
        <v>km/l</v>
      </c>
      <c r="I356" s="2" cm="1">
        <f t="array" ref="I356">_xlfn.IFS(D356="GASOLINA",24,D356="HIBRIDO",24,D356="ELÉCTRICO",5,D356="DIESEL",27)</f>
        <v>24</v>
      </c>
      <c r="J356" s="1">
        <v>268</v>
      </c>
      <c r="K356" s="1">
        <v>203</v>
      </c>
      <c r="L356" s="1">
        <v>239</v>
      </c>
      <c r="M356" t="s">
        <v>40</v>
      </c>
      <c r="N356" s="5" t="s">
        <v>10</v>
      </c>
    </row>
    <row r="357" spans="1:14">
      <c r="A357" s="4">
        <v>1355</v>
      </c>
      <c r="B357" s="5" t="s">
        <v>364</v>
      </c>
      <c r="C357" s="5" t="s">
        <v>372</v>
      </c>
      <c r="D357" s="5" t="s">
        <v>17</v>
      </c>
      <c r="E357" s="1">
        <v>24.8</v>
      </c>
      <c r="F357" s="1">
        <v>21.7</v>
      </c>
      <c r="G357" s="1">
        <v>23.3020134</v>
      </c>
      <c r="H357" s="8" t="str">
        <f t="shared" si="15"/>
        <v>km/l</v>
      </c>
      <c r="I357" s="2" cm="1">
        <f t="array" ref="I357">_xlfn.IFS(D357="GASOLINA",24,D357="HIBRIDO",24,D357="ELÉCTRICO",5,D357="DIESEL",27)</f>
        <v>24</v>
      </c>
      <c r="J357" s="1">
        <v>94</v>
      </c>
      <c r="K357" s="1">
        <v>108</v>
      </c>
      <c r="L357" s="1">
        <v>100</v>
      </c>
      <c r="M357" t="s">
        <v>354</v>
      </c>
      <c r="N357" s="5" t="s">
        <v>489</v>
      </c>
    </row>
    <row r="358" spans="1:14">
      <c r="A358" s="4">
        <v>1356</v>
      </c>
      <c r="B358" s="5" t="s">
        <v>364</v>
      </c>
      <c r="C358" s="5" t="s">
        <v>356</v>
      </c>
      <c r="D358" s="5" t="s">
        <v>1</v>
      </c>
      <c r="E358" s="1">
        <v>17.100000000000001</v>
      </c>
      <c r="F358" s="1">
        <v>21.8</v>
      </c>
      <c r="G358" s="1">
        <v>18.937261899999999</v>
      </c>
      <c r="H358" s="8" t="str">
        <f t="shared" si="15"/>
        <v>km/l</v>
      </c>
      <c r="I358" s="2" cm="1">
        <f t="array" ref="I358">_xlfn.IFS(D358="GASOLINA",24,D358="HIBRIDO",24,D358="ELÉCTRICO",5,D358="DIESEL",27)</f>
        <v>24</v>
      </c>
      <c r="J358" s="1">
        <v>137</v>
      </c>
      <c r="K358" s="1">
        <v>107</v>
      </c>
      <c r="L358" s="1">
        <v>124</v>
      </c>
      <c r="M358" t="s">
        <v>354</v>
      </c>
      <c r="N358" s="5" t="s">
        <v>2</v>
      </c>
    </row>
    <row r="359" spans="1:14">
      <c r="A359" s="4">
        <v>1357</v>
      </c>
      <c r="B359" s="5" t="s">
        <v>364</v>
      </c>
      <c r="C359" s="5" t="s">
        <v>357</v>
      </c>
      <c r="D359" s="5" t="s">
        <v>1</v>
      </c>
      <c r="E359" s="1">
        <v>16.16</v>
      </c>
      <c r="F359" s="1">
        <v>20.190000000000001</v>
      </c>
      <c r="G359" s="1">
        <v>17.754762899999999</v>
      </c>
      <c r="H359" s="8" t="str">
        <f t="shared" si="15"/>
        <v>km/l</v>
      </c>
      <c r="I359" s="2" cm="1">
        <f t="array" ref="I359">_xlfn.IFS(D359="GASOLINA",24,D359="HIBRIDO",24,D359="ELÉCTRICO",5,D359="DIESEL",27)</f>
        <v>24</v>
      </c>
      <c r="J359" s="1">
        <v>145</v>
      </c>
      <c r="K359" s="1">
        <v>116</v>
      </c>
      <c r="L359" s="1">
        <v>132</v>
      </c>
      <c r="M359" t="s">
        <v>354</v>
      </c>
      <c r="N359" s="5" t="s">
        <v>5</v>
      </c>
    </row>
    <row r="360" spans="1:14">
      <c r="A360" s="4">
        <v>1358</v>
      </c>
      <c r="B360" s="5" t="s">
        <v>364</v>
      </c>
      <c r="C360" s="5" t="s">
        <v>373</v>
      </c>
      <c r="D360" s="5" t="s">
        <v>1</v>
      </c>
      <c r="E360" s="1">
        <v>10.8</v>
      </c>
      <c r="F360" s="1">
        <v>15.33</v>
      </c>
      <c r="G360" s="1">
        <v>12.4563819</v>
      </c>
      <c r="H360" s="8" t="str">
        <f t="shared" si="15"/>
        <v>km/l</v>
      </c>
      <c r="I360" s="2" cm="1">
        <f t="array" ref="I360">_xlfn.IFS(D360="GASOLINA",24,D360="HIBRIDO",24,D360="ELÉCTRICO",5,D360="DIESEL",27)</f>
        <v>24</v>
      </c>
      <c r="J360" s="1">
        <v>217</v>
      </c>
      <c r="K360" s="1">
        <v>153</v>
      </c>
      <c r="L360" s="1">
        <v>188</v>
      </c>
      <c r="M360" t="s">
        <v>34</v>
      </c>
      <c r="N360" s="5" t="s">
        <v>2</v>
      </c>
    </row>
    <row r="361" spans="1:14">
      <c r="A361" s="4">
        <v>1359</v>
      </c>
      <c r="B361" s="5" t="s">
        <v>364</v>
      </c>
      <c r="C361" s="5" t="s">
        <v>374</v>
      </c>
      <c r="D361" s="5" t="s">
        <v>1</v>
      </c>
      <c r="E361" s="1">
        <v>10.54</v>
      </c>
      <c r="F361" s="1">
        <v>14.4</v>
      </c>
      <c r="G361" s="1">
        <v>11.985785399999999</v>
      </c>
      <c r="H361" s="8" t="str">
        <f t="shared" si="15"/>
        <v>km/l</v>
      </c>
      <c r="I361" s="2" cm="1">
        <f t="array" ref="I361">_xlfn.IFS(D361="GASOLINA",24,D361="HIBRIDO",24,D361="ELÉCTRICO",5,D361="DIESEL",27)</f>
        <v>24</v>
      </c>
      <c r="J361" s="1">
        <v>222</v>
      </c>
      <c r="K361" s="1">
        <v>163</v>
      </c>
      <c r="L361" s="1">
        <v>195</v>
      </c>
      <c r="M361" t="s">
        <v>34</v>
      </c>
      <c r="N361" s="5" t="s">
        <v>10</v>
      </c>
    </row>
    <row r="362" spans="1:14">
      <c r="A362" s="4">
        <v>1360</v>
      </c>
      <c r="B362" s="5" t="s">
        <v>376</v>
      </c>
      <c r="C362" s="5" t="s">
        <v>377</v>
      </c>
      <c r="D362" s="5" t="s">
        <v>1</v>
      </c>
      <c r="E362" s="1">
        <v>9.5</v>
      </c>
      <c r="F362" s="1">
        <v>15.2</v>
      </c>
      <c r="G362" s="1">
        <v>11.4</v>
      </c>
      <c r="H362" s="8" t="str">
        <f t="shared" ref="H362:H368" si="16">IF(D362="ELÉCTRICO","km/kwh",IF(OR(D362="GASOLINA",D362="HIBRIDO",D362="DIESEL"),"km/l","N/D"))</f>
        <v>km/l</v>
      </c>
      <c r="I362" s="2" cm="1">
        <f t="array" ref="I362">_xlfn.IFS(D362="GASOLINA",24,D362="HIBRIDO",24,D362="ELÉCTRICO",5,D362="DIESEL",27)</f>
        <v>24</v>
      </c>
      <c r="J362" s="1">
        <v>247</v>
      </c>
      <c r="K362" s="1">
        <v>154</v>
      </c>
      <c r="L362" s="1">
        <v>205</v>
      </c>
      <c r="M362" t="s">
        <v>40</v>
      </c>
      <c r="N362" s="5" t="s">
        <v>10</v>
      </c>
    </row>
    <row r="363" spans="1:14">
      <c r="A363" s="4">
        <v>1361</v>
      </c>
      <c r="B363" s="5" t="s">
        <v>376</v>
      </c>
      <c r="C363" s="5" t="s">
        <v>378</v>
      </c>
      <c r="D363" s="5" t="s">
        <v>1</v>
      </c>
      <c r="E363" s="1">
        <v>9.6999999999999993</v>
      </c>
      <c r="F363" s="1">
        <v>14</v>
      </c>
      <c r="G363" s="1">
        <v>11.3</v>
      </c>
      <c r="H363" s="8" t="str">
        <f t="shared" si="16"/>
        <v>km/l</v>
      </c>
      <c r="I363" s="2" cm="1">
        <f t="array" ref="I363">_xlfn.IFS(D363="GASOLINA",24,D363="HIBRIDO",24,D363="ELÉCTRICO",5,D363="DIESEL",27)</f>
        <v>24</v>
      </c>
      <c r="J363" s="1">
        <v>241</v>
      </c>
      <c r="K363" s="1">
        <v>168</v>
      </c>
      <c r="L363" s="1">
        <v>208</v>
      </c>
      <c r="M363" t="s">
        <v>40</v>
      </c>
      <c r="N363" s="5" t="s">
        <v>10</v>
      </c>
    </row>
    <row r="364" spans="1:14">
      <c r="A364" s="4">
        <v>1362</v>
      </c>
      <c r="B364" s="5" t="s">
        <v>376</v>
      </c>
      <c r="C364" s="5" t="s">
        <v>379</v>
      </c>
      <c r="D364" s="5" t="s">
        <v>17</v>
      </c>
      <c r="E364" s="1">
        <v>9.3000000000000007</v>
      </c>
      <c r="F364" s="1">
        <v>14.9</v>
      </c>
      <c r="G364" s="1">
        <v>11.2</v>
      </c>
      <c r="H364" s="8" t="str">
        <f t="shared" si="16"/>
        <v>km/l</v>
      </c>
      <c r="I364" s="2" cm="1">
        <f t="array" ref="I364">_xlfn.IFS(D364="GASOLINA",24,D364="HIBRIDO",24,D364="ELÉCTRICO",5,D364="DIESEL",27)</f>
        <v>24</v>
      </c>
      <c r="J364" s="1">
        <v>252</v>
      </c>
      <c r="K364" s="1">
        <v>158</v>
      </c>
      <c r="L364" s="1">
        <v>209</v>
      </c>
      <c r="M364" t="s">
        <v>40</v>
      </c>
      <c r="N364" s="5" t="s">
        <v>10</v>
      </c>
    </row>
    <row r="365" spans="1:14">
      <c r="A365" s="4">
        <v>1363</v>
      </c>
      <c r="B365" s="5" t="s">
        <v>376</v>
      </c>
      <c r="C365" s="5" t="s">
        <v>380</v>
      </c>
      <c r="D365" s="5" t="s">
        <v>1</v>
      </c>
      <c r="E365" s="1">
        <v>9.3000000000000007</v>
      </c>
      <c r="F365" s="1">
        <v>14.9</v>
      </c>
      <c r="G365" s="1">
        <v>11.2</v>
      </c>
      <c r="H365" s="8" t="str">
        <f t="shared" si="16"/>
        <v>km/l</v>
      </c>
      <c r="I365" s="2" cm="1">
        <f t="array" ref="I365">_xlfn.IFS(D365="GASOLINA",24,D365="HIBRIDO",24,D365="ELÉCTRICO",5,D365="DIESEL",27)</f>
        <v>24</v>
      </c>
      <c r="J365" s="1">
        <v>252</v>
      </c>
      <c r="K365" s="1">
        <v>158</v>
      </c>
      <c r="L365" s="1">
        <v>209</v>
      </c>
      <c r="M365" t="s">
        <v>40</v>
      </c>
      <c r="N365" s="5" t="s">
        <v>10</v>
      </c>
    </row>
    <row r="366" spans="1:14">
      <c r="A366" s="4">
        <v>1364</v>
      </c>
      <c r="B366" s="5" t="s">
        <v>376</v>
      </c>
      <c r="C366" s="5" t="s">
        <v>381</v>
      </c>
      <c r="D366" s="5" t="s">
        <v>17</v>
      </c>
      <c r="E366" s="1">
        <v>9.5</v>
      </c>
      <c r="F366" s="1">
        <v>14.4</v>
      </c>
      <c r="G366" s="1">
        <v>11.2</v>
      </c>
      <c r="H366" s="8" t="str">
        <f t="shared" si="16"/>
        <v>km/l</v>
      </c>
      <c r="I366" s="2" cm="1">
        <f t="array" ref="I366">_xlfn.IFS(D366="GASOLINA",24,D366="HIBRIDO",24,D366="ELÉCTRICO",5,D366="DIESEL",27)</f>
        <v>24</v>
      </c>
      <c r="J366" s="1">
        <v>248</v>
      </c>
      <c r="K366" s="1">
        <v>163</v>
      </c>
      <c r="L366" s="1">
        <v>209</v>
      </c>
      <c r="M366" t="s">
        <v>230</v>
      </c>
      <c r="N366" s="5" t="s">
        <v>10</v>
      </c>
    </row>
    <row r="367" spans="1:14">
      <c r="A367" s="4">
        <v>1365</v>
      </c>
      <c r="B367" s="5" t="s">
        <v>376</v>
      </c>
      <c r="C367" s="5" t="s">
        <v>382</v>
      </c>
      <c r="D367" s="5" t="s">
        <v>17</v>
      </c>
      <c r="E367" s="1">
        <v>9.3000000000000007</v>
      </c>
      <c r="F367" s="1">
        <v>14.5</v>
      </c>
      <c r="G367" s="1">
        <v>11.1</v>
      </c>
      <c r="H367" s="8" t="str">
        <f t="shared" si="16"/>
        <v>km/l</v>
      </c>
      <c r="I367" s="2" cm="1">
        <f t="array" ref="I367">_xlfn.IFS(D367="GASOLINA",24,D367="HIBRIDO",24,D367="ELÉCTRICO",5,D367="DIESEL",27)</f>
        <v>24</v>
      </c>
      <c r="J367" s="1">
        <v>252</v>
      </c>
      <c r="K367" s="1">
        <v>162</v>
      </c>
      <c r="L367" s="1">
        <v>211</v>
      </c>
      <c r="M367" t="s">
        <v>40</v>
      </c>
      <c r="N367" s="5" t="s">
        <v>10</v>
      </c>
    </row>
    <row r="368" spans="1:14">
      <c r="A368" s="4">
        <v>1366</v>
      </c>
      <c r="B368" s="5" t="s">
        <v>376</v>
      </c>
      <c r="C368" s="5" t="s">
        <v>383</v>
      </c>
      <c r="D368" s="5" t="s">
        <v>17</v>
      </c>
      <c r="E368" s="1">
        <v>9.3000000000000007</v>
      </c>
      <c r="F368" s="1">
        <v>14.5</v>
      </c>
      <c r="G368" s="1">
        <v>11.1</v>
      </c>
      <c r="H368" s="8" t="str">
        <f t="shared" si="16"/>
        <v>km/l</v>
      </c>
      <c r="I368" s="2" cm="1">
        <f t="array" ref="I368">_xlfn.IFS(D368="GASOLINA",24,D368="HIBRIDO",24,D368="ELÉCTRICO",5,D368="DIESEL",27)</f>
        <v>24</v>
      </c>
      <c r="J368" s="1">
        <v>252</v>
      </c>
      <c r="K368" s="1">
        <v>162</v>
      </c>
      <c r="L368" s="1">
        <v>211</v>
      </c>
      <c r="M368" t="s">
        <v>40</v>
      </c>
      <c r="N368" s="5" t="s">
        <v>10</v>
      </c>
    </row>
    <row r="369" spans="1:14">
      <c r="A369" s="4">
        <v>1367</v>
      </c>
      <c r="B369" s="5" t="s">
        <v>376</v>
      </c>
      <c r="C369" s="5" t="s">
        <v>384</v>
      </c>
      <c r="D369" s="5" t="s">
        <v>1</v>
      </c>
      <c r="E369" s="1">
        <v>9.1</v>
      </c>
      <c r="F369" s="1">
        <v>14.7</v>
      </c>
      <c r="G369" s="1">
        <v>11</v>
      </c>
      <c r="H369" s="8" t="str">
        <f t="shared" ref="H369:H399" si="17">IF(D369="ELÉCTRICO","km/kwh",IF(OR(D369="GASOLINA",D369="HIBRIDO",D369="DIESEL"),"km/l","N/D"))</f>
        <v>km/l</v>
      </c>
      <c r="I369" s="2" cm="1">
        <f t="array" ref="I369">_xlfn.IFS(D369="GASOLINA",24,D369="HIBRIDO",24,D369="ELÉCTRICO",5,D369="DIESEL",27)</f>
        <v>24</v>
      </c>
      <c r="J369" s="1">
        <v>257</v>
      </c>
      <c r="K369" s="1">
        <v>160</v>
      </c>
      <c r="L369" s="1">
        <v>213</v>
      </c>
      <c r="M369" t="s">
        <v>40</v>
      </c>
      <c r="N369" s="5" t="s">
        <v>2</v>
      </c>
    </row>
    <row r="370" spans="1:14">
      <c r="A370" s="4">
        <v>1368</v>
      </c>
      <c r="B370" s="5" t="s">
        <v>376</v>
      </c>
      <c r="C370" s="5" t="s">
        <v>385</v>
      </c>
      <c r="D370" s="5" t="s">
        <v>1</v>
      </c>
      <c r="E370" s="1">
        <v>9.6</v>
      </c>
      <c r="F370" s="1">
        <v>13.4</v>
      </c>
      <c r="G370" s="1">
        <v>11</v>
      </c>
      <c r="H370" s="8" t="str">
        <f t="shared" si="17"/>
        <v>km/l</v>
      </c>
      <c r="I370" s="2" cm="1">
        <f t="array" ref="I370">_xlfn.IFS(D370="GASOLINA",24,D370="HIBRIDO",24,D370="ELÉCTRICO",5,D370="DIESEL",27)</f>
        <v>24</v>
      </c>
      <c r="J370" s="1">
        <v>245</v>
      </c>
      <c r="K370" s="1">
        <v>175</v>
      </c>
      <c r="L370" s="1">
        <v>213</v>
      </c>
      <c r="M370" t="s">
        <v>40</v>
      </c>
      <c r="N370" s="5" t="s">
        <v>10</v>
      </c>
    </row>
    <row r="371" spans="1:14">
      <c r="A371" s="4">
        <v>1369</v>
      </c>
      <c r="B371" s="5" t="s">
        <v>376</v>
      </c>
      <c r="C371" s="5" t="s">
        <v>386</v>
      </c>
      <c r="D371" s="5" t="s">
        <v>17</v>
      </c>
      <c r="E371" s="1">
        <v>9.1999999999999993</v>
      </c>
      <c r="F371" s="1">
        <v>14.2</v>
      </c>
      <c r="G371" s="1">
        <v>10.9</v>
      </c>
      <c r="H371" s="8" t="str">
        <f t="shared" si="17"/>
        <v>km/l</v>
      </c>
      <c r="I371" s="2" cm="1">
        <f t="array" ref="I371">_xlfn.IFS(D371="GASOLINA",24,D371="HIBRIDO",24,D371="ELÉCTRICO",5,D371="DIESEL",27)</f>
        <v>24</v>
      </c>
      <c r="J371" s="1">
        <v>256</v>
      </c>
      <c r="K371" s="1">
        <v>165</v>
      </c>
      <c r="L371" s="1">
        <v>215</v>
      </c>
      <c r="M371" t="s">
        <v>40</v>
      </c>
      <c r="N371" s="5" t="s">
        <v>10</v>
      </c>
    </row>
    <row r="372" spans="1:14">
      <c r="A372" s="4">
        <v>1370</v>
      </c>
      <c r="B372" s="5" t="s">
        <v>376</v>
      </c>
      <c r="C372" s="5" t="s">
        <v>387</v>
      </c>
      <c r="D372" s="5" t="s">
        <v>1</v>
      </c>
      <c r="E372" s="1">
        <v>9.1</v>
      </c>
      <c r="F372" s="1">
        <v>14.4</v>
      </c>
      <c r="G372" s="1">
        <v>10.9</v>
      </c>
      <c r="H372" s="8" t="str">
        <f t="shared" si="17"/>
        <v>km/l</v>
      </c>
      <c r="I372" s="2" cm="1">
        <f t="array" ref="I372">_xlfn.IFS(D372="GASOLINA",24,D372="HIBRIDO",24,D372="ELÉCTRICO",5,D372="DIESEL",27)</f>
        <v>24</v>
      </c>
      <c r="J372" s="1">
        <v>257</v>
      </c>
      <c r="K372" s="1">
        <v>163</v>
      </c>
      <c r="L372" s="1">
        <v>214</v>
      </c>
      <c r="M372" t="s">
        <v>40</v>
      </c>
      <c r="N372" s="5" t="s">
        <v>10</v>
      </c>
    </row>
    <row r="373" spans="1:14">
      <c r="A373" s="4">
        <v>1371</v>
      </c>
      <c r="B373" s="5" t="s">
        <v>376</v>
      </c>
      <c r="C373" s="5" t="s">
        <v>388</v>
      </c>
      <c r="D373" s="5" t="s">
        <v>1</v>
      </c>
      <c r="E373" s="1">
        <v>9.1</v>
      </c>
      <c r="F373" s="1">
        <v>14.4</v>
      </c>
      <c r="G373" s="1">
        <v>10.9</v>
      </c>
      <c r="H373" s="8" t="str">
        <f t="shared" si="17"/>
        <v>km/l</v>
      </c>
      <c r="I373" s="2" cm="1">
        <f t="array" ref="I373">_xlfn.IFS(D373="GASOLINA",24,D373="HIBRIDO",24,D373="ELÉCTRICO",5,D373="DIESEL",27)</f>
        <v>24</v>
      </c>
      <c r="J373" s="1">
        <v>257</v>
      </c>
      <c r="K373" s="1">
        <v>163</v>
      </c>
      <c r="L373" s="1">
        <v>214</v>
      </c>
      <c r="M373" t="s">
        <v>40</v>
      </c>
      <c r="N373" s="5" t="s">
        <v>10</v>
      </c>
    </row>
    <row r="374" spans="1:14">
      <c r="A374" s="4">
        <v>1372</v>
      </c>
      <c r="B374" s="5" t="s">
        <v>376</v>
      </c>
      <c r="C374" s="5" t="s">
        <v>389</v>
      </c>
      <c r="D374" s="5" t="s">
        <v>1</v>
      </c>
      <c r="E374" s="1">
        <v>9.1</v>
      </c>
      <c r="F374" s="1">
        <v>14.4</v>
      </c>
      <c r="G374" s="1">
        <v>10.9</v>
      </c>
      <c r="H374" s="8" t="str">
        <f t="shared" si="17"/>
        <v>km/l</v>
      </c>
      <c r="I374" s="2" cm="1">
        <f t="array" ref="I374">_xlfn.IFS(D374="GASOLINA",24,D374="HIBRIDO",24,D374="ELÉCTRICO",5,D374="DIESEL",27)</f>
        <v>24</v>
      </c>
      <c r="J374" s="1">
        <v>257</v>
      </c>
      <c r="K374" s="1">
        <v>163</v>
      </c>
      <c r="L374" s="1">
        <v>214</v>
      </c>
      <c r="M374" t="s">
        <v>40</v>
      </c>
      <c r="N374" s="5" t="s">
        <v>10</v>
      </c>
    </row>
    <row r="375" spans="1:14">
      <c r="A375" s="4">
        <v>1373</v>
      </c>
      <c r="B375" s="5" t="s">
        <v>376</v>
      </c>
      <c r="C375" s="5" t="s">
        <v>390</v>
      </c>
      <c r="D375" s="5" t="s">
        <v>17</v>
      </c>
      <c r="E375" s="1">
        <v>9.1999999999999993</v>
      </c>
      <c r="F375" s="1">
        <v>14.2</v>
      </c>
      <c r="G375" s="1">
        <v>10.9</v>
      </c>
      <c r="H375" s="8" t="str">
        <f t="shared" si="17"/>
        <v>km/l</v>
      </c>
      <c r="I375" s="2" cm="1">
        <f t="array" ref="I375">_xlfn.IFS(D375="GASOLINA",24,D375="HIBRIDO",24,D375="ELÉCTRICO",5,D375="DIESEL",27)</f>
        <v>24</v>
      </c>
      <c r="J375" s="1">
        <v>256</v>
      </c>
      <c r="K375" s="1">
        <v>165</v>
      </c>
      <c r="L375" s="1">
        <v>215</v>
      </c>
      <c r="M375" t="s">
        <v>40</v>
      </c>
      <c r="N375" s="5" t="s">
        <v>10</v>
      </c>
    </row>
    <row r="376" spans="1:14">
      <c r="A376" s="4">
        <v>1374</v>
      </c>
      <c r="B376" s="5" t="s">
        <v>376</v>
      </c>
      <c r="C376" s="5" t="s">
        <v>391</v>
      </c>
      <c r="D376" s="5" t="s">
        <v>17</v>
      </c>
      <c r="E376" s="1">
        <v>9.1999999999999993</v>
      </c>
      <c r="F376" s="1">
        <v>14.2</v>
      </c>
      <c r="G376" s="1">
        <v>10.9</v>
      </c>
      <c r="H376" s="8" t="str">
        <f t="shared" si="17"/>
        <v>km/l</v>
      </c>
      <c r="I376" s="2" cm="1">
        <f t="array" ref="I376">_xlfn.IFS(D376="GASOLINA",24,D376="HIBRIDO",24,D376="ELÉCTRICO",5,D376="DIESEL",27)</f>
        <v>24</v>
      </c>
      <c r="J376" s="1">
        <v>256</v>
      </c>
      <c r="K376" s="1">
        <v>165</v>
      </c>
      <c r="L376" s="1">
        <v>215</v>
      </c>
      <c r="M376" t="s">
        <v>40</v>
      </c>
      <c r="N376" s="5" t="s">
        <v>10</v>
      </c>
    </row>
    <row r="377" spans="1:14">
      <c r="A377" s="4">
        <v>1375</v>
      </c>
      <c r="B377" s="5" t="s">
        <v>376</v>
      </c>
      <c r="C377" s="5" t="s">
        <v>392</v>
      </c>
      <c r="D377" s="5" t="s">
        <v>1</v>
      </c>
      <c r="E377" s="1">
        <v>9.4</v>
      </c>
      <c r="F377" s="1">
        <v>13.7</v>
      </c>
      <c r="G377" s="1">
        <v>10.9</v>
      </c>
      <c r="H377" s="8" t="str">
        <f t="shared" si="17"/>
        <v>km/l</v>
      </c>
      <c r="I377" s="2" cm="1">
        <f t="array" ref="I377">_xlfn.IFS(D377="GASOLINA",24,D377="HIBRIDO",24,D377="ELÉCTRICO",5,D377="DIESEL",27)</f>
        <v>24</v>
      </c>
      <c r="J377" s="1">
        <v>250</v>
      </c>
      <c r="K377" s="1">
        <v>171</v>
      </c>
      <c r="L377" s="1">
        <v>214</v>
      </c>
      <c r="M377" t="s">
        <v>40</v>
      </c>
      <c r="N377" s="5" t="s">
        <v>10</v>
      </c>
    </row>
    <row r="378" spans="1:14">
      <c r="A378" s="4">
        <v>1376</v>
      </c>
      <c r="B378" s="5" t="s">
        <v>376</v>
      </c>
      <c r="C378" s="5" t="s">
        <v>393</v>
      </c>
      <c r="D378" s="5" t="s">
        <v>1</v>
      </c>
      <c r="E378" s="1">
        <v>9.4</v>
      </c>
      <c r="F378" s="1">
        <v>13.7</v>
      </c>
      <c r="G378" s="1">
        <v>10.9</v>
      </c>
      <c r="H378" s="8" t="str">
        <f t="shared" si="17"/>
        <v>km/l</v>
      </c>
      <c r="I378" s="2" cm="1">
        <f t="array" ref="I378">_xlfn.IFS(D378="GASOLINA",24,D378="HIBRIDO",24,D378="ELÉCTRICO",5,D378="DIESEL",27)</f>
        <v>24</v>
      </c>
      <c r="J378" s="1">
        <v>250</v>
      </c>
      <c r="K378" s="1">
        <v>171</v>
      </c>
      <c r="L378" s="1">
        <v>214</v>
      </c>
      <c r="M378" t="s">
        <v>40</v>
      </c>
      <c r="N378" s="5" t="s">
        <v>10</v>
      </c>
    </row>
    <row r="379" spans="1:14">
      <c r="A379" s="4">
        <v>1377</v>
      </c>
      <c r="B379" s="5" t="s">
        <v>376</v>
      </c>
      <c r="C379" s="5" t="s">
        <v>394</v>
      </c>
      <c r="D379" s="5" t="s">
        <v>17</v>
      </c>
      <c r="E379" s="1">
        <v>9.6</v>
      </c>
      <c r="F379" s="1">
        <v>12.3</v>
      </c>
      <c r="G379" s="1">
        <v>10.7</v>
      </c>
      <c r="H379" s="8" t="str">
        <f t="shared" si="17"/>
        <v>km/l</v>
      </c>
      <c r="I379" s="2" cm="1">
        <f t="array" ref="I379">_xlfn.IFS(D379="GASOLINA",24,D379="HIBRIDO",24,D379="ELÉCTRICO",5,D379="DIESEL",27)</f>
        <v>24</v>
      </c>
      <c r="J379" s="1">
        <v>244</v>
      </c>
      <c r="K379" s="1">
        <v>191</v>
      </c>
      <c r="L379" s="1">
        <v>220</v>
      </c>
      <c r="M379" t="s">
        <v>230</v>
      </c>
      <c r="N379" s="5" t="s">
        <v>10</v>
      </c>
    </row>
    <row r="380" spans="1:14">
      <c r="A380" s="4">
        <v>1378</v>
      </c>
      <c r="B380" s="5" t="s">
        <v>376</v>
      </c>
      <c r="C380" s="5" t="s">
        <v>395</v>
      </c>
      <c r="D380" s="5" t="s">
        <v>17</v>
      </c>
      <c r="E380" s="1">
        <v>9.6</v>
      </c>
      <c r="F380" s="1">
        <v>12.3</v>
      </c>
      <c r="G380" s="1">
        <v>10.7</v>
      </c>
      <c r="H380" s="8" t="str">
        <f t="shared" si="17"/>
        <v>km/l</v>
      </c>
      <c r="I380" s="2" cm="1">
        <f t="array" ref="I380">_xlfn.IFS(D380="GASOLINA",24,D380="HIBRIDO",24,D380="ELÉCTRICO",5,D380="DIESEL",27)</f>
        <v>24</v>
      </c>
      <c r="J380" s="1">
        <v>244</v>
      </c>
      <c r="K380" s="1">
        <v>191</v>
      </c>
      <c r="L380" s="1">
        <v>220</v>
      </c>
      <c r="M380" t="s">
        <v>230</v>
      </c>
      <c r="N380" s="5" t="s">
        <v>10</v>
      </c>
    </row>
    <row r="381" spans="1:14">
      <c r="A381" s="4">
        <v>1379</v>
      </c>
      <c r="B381" s="5" t="s">
        <v>376</v>
      </c>
      <c r="C381" s="5" t="s">
        <v>396</v>
      </c>
      <c r="D381" s="5" t="s">
        <v>1</v>
      </c>
      <c r="E381" s="1">
        <v>8.4</v>
      </c>
      <c r="F381" s="1">
        <v>14.5</v>
      </c>
      <c r="G381" s="1">
        <v>10.4</v>
      </c>
      <c r="H381" s="8" t="str">
        <f t="shared" si="17"/>
        <v>km/l</v>
      </c>
      <c r="I381" s="2" cm="1">
        <f t="array" ref="I381">_xlfn.IFS(D381="GASOLINA",24,D381="HIBRIDO",24,D381="ELÉCTRICO",5,D381="DIESEL",27)</f>
        <v>24</v>
      </c>
      <c r="J381" s="1">
        <v>278</v>
      </c>
      <c r="K381" s="1">
        <v>162</v>
      </c>
      <c r="L381" s="1">
        <v>225</v>
      </c>
      <c r="M381" t="s">
        <v>230</v>
      </c>
      <c r="N381" s="5" t="s">
        <v>10</v>
      </c>
    </row>
    <row r="382" spans="1:14">
      <c r="A382" s="4">
        <v>1380</v>
      </c>
      <c r="B382" s="5" t="s">
        <v>376</v>
      </c>
      <c r="C382" s="5" t="s">
        <v>397</v>
      </c>
      <c r="D382" s="5" t="s">
        <v>1</v>
      </c>
      <c r="E382" s="1">
        <v>8.1999999999999993</v>
      </c>
      <c r="F382" s="1">
        <v>13.2</v>
      </c>
      <c r="G382" s="1">
        <v>9.9</v>
      </c>
      <c r="H382" s="8" t="str">
        <f t="shared" si="17"/>
        <v>km/l</v>
      </c>
      <c r="I382" s="2" cm="1">
        <f t="array" ref="I382">_xlfn.IFS(D382="GASOLINA",24,D382="HIBRIDO",24,D382="ELÉCTRICO",5,D382="DIESEL",27)</f>
        <v>24</v>
      </c>
      <c r="J382" s="1">
        <v>287</v>
      </c>
      <c r="K382" s="1">
        <v>178</v>
      </c>
      <c r="L382" s="1">
        <v>238</v>
      </c>
      <c r="M382" t="s">
        <v>230</v>
      </c>
      <c r="N382" s="5" t="s">
        <v>10</v>
      </c>
    </row>
    <row r="383" spans="1:14">
      <c r="A383" s="4">
        <v>1381</v>
      </c>
      <c r="B383" s="5" t="s">
        <v>376</v>
      </c>
      <c r="C383" s="5" t="s">
        <v>398</v>
      </c>
      <c r="D383" s="5" t="s">
        <v>1</v>
      </c>
      <c r="E383" s="1">
        <v>8.1999999999999993</v>
      </c>
      <c r="F383" s="1">
        <v>13.2</v>
      </c>
      <c r="G383" s="1">
        <v>9.9</v>
      </c>
      <c r="H383" s="8" t="str">
        <f t="shared" si="17"/>
        <v>km/l</v>
      </c>
      <c r="I383" s="2" cm="1">
        <f t="array" ref="I383">_xlfn.IFS(D383="GASOLINA",24,D383="HIBRIDO",24,D383="ELÉCTRICO",5,D383="DIESEL",27)</f>
        <v>24</v>
      </c>
      <c r="J383" s="1">
        <v>287</v>
      </c>
      <c r="K383" s="1">
        <v>178</v>
      </c>
      <c r="L383" s="1">
        <v>238</v>
      </c>
      <c r="M383" t="s">
        <v>230</v>
      </c>
      <c r="N383" s="5" t="s">
        <v>10</v>
      </c>
    </row>
    <row r="384" spans="1:14">
      <c r="A384" s="4">
        <v>1382</v>
      </c>
      <c r="B384" s="5" t="s">
        <v>376</v>
      </c>
      <c r="C384" s="5" t="s">
        <v>399</v>
      </c>
      <c r="D384" s="5" t="s">
        <v>1</v>
      </c>
      <c r="E384" s="1">
        <v>8.4</v>
      </c>
      <c r="F384" s="1">
        <v>12.6</v>
      </c>
      <c r="G384" s="1">
        <v>9.9</v>
      </c>
      <c r="H384" s="8" t="str">
        <f t="shared" si="17"/>
        <v>km/l</v>
      </c>
      <c r="I384" s="2" cm="1">
        <f t="array" ref="I384">_xlfn.IFS(D384="GASOLINA",24,D384="HIBRIDO",24,D384="ELÉCTRICO",5,D384="DIESEL",27)</f>
        <v>24</v>
      </c>
      <c r="J384" s="1">
        <v>278</v>
      </c>
      <c r="K384" s="1">
        <v>186</v>
      </c>
      <c r="L384" s="1">
        <v>236</v>
      </c>
      <c r="M384" t="s">
        <v>230</v>
      </c>
      <c r="N384" s="5" t="s">
        <v>10</v>
      </c>
    </row>
    <row r="385" spans="1:14">
      <c r="A385" s="4">
        <v>1383</v>
      </c>
      <c r="B385" s="5" t="s">
        <v>376</v>
      </c>
      <c r="C385" s="5" t="s">
        <v>400</v>
      </c>
      <c r="D385" s="5" t="s">
        <v>1</v>
      </c>
      <c r="E385" s="1">
        <v>8.1999999999999993</v>
      </c>
      <c r="F385" s="1">
        <v>12.6</v>
      </c>
      <c r="G385" s="1">
        <v>9.6999999999999993</v>
      </c>
      <c r="H385" s="8" t="str">
        <f t="shared" si="17"/>
        <v>km/l</v>
      </c>
      <c r="I385" s="2" cm="1">
        <f t="array" ref="I385">_xlfn.IFS(D385="GASOLINA",24,D385="HIBRIDO",24,D385="ELÉCTRICO",5,D385="DIESEL",27)</f>
        <v>24</v>
      </c>
      <c r="J385" s="1">
        <v>287</v>
      </c>
      <c r="K385" s="1">
        <v>186</v>
      </c>
      <c r="L385" s="1">
        <v>241</v>
      </c>
      <c r="M385" t="s">
        <v>230</v>
      </c>
      <c r="N385" s="5" t="s">
        <v>10</v>
      </c>
    </row>
    <row r="386" spans="1:14">
      <c r="A386" s="4">
        <v>1384</v>
      </c>
      <c r="B386" s="5" t="s">
        <v>376</v>
      </c>
      <c r="C386" s="5" t="s">
        <v>401</v>
      </c>
      <c r="D386" s="5" t="s">
        <v>1</v>
      </c>
      <c r="E386" s="1">
        <v>7.6</v>
      </c>
      <c r="F386" s="1">
        <v>12.2</v>
      </c>
      <c r="G386" s="1">
        <v>9.1</v>
      </c>
      <c r="H386" s="8" t="str">
        <f t="shared" si="17"/>
        <v>km/l</v>
      </c>
      <c r="I386" s="2" cm="1">
        <f t="array" ref="I386">_xlfn.IFS(D386="GASOLINA",24,D386="HIBRIDO",24,D386="ELÉCTRICO",5,D386="DIESEL",27)</f>
        <v>24</v>
      </c>
      <c r="J386" s="1">
        <v>309</v>
      </c>
      <c r="K386" s="1">
        <v>193</v>
      </c>
      <c r="L386" s="1">
        <v>256</v>
      </c>
      <c r="M386" t="s">
        <v>230</v>
      </c>
      <c r="N386" s="5" t="s">
        <v>10</v>
      </c>
    </row>
    <row r="387" spans="1:14">
      <c r="A387" s="4">
        <v>1385</v>
      </c>
      <c r="B387" s="5" t="s">
        <v>376</v>
      </c>
      <c r="C387" s="5" t="s">
        <v>402</v>
      </c>
      <c r="D387" s="5" t="s">
        <v>1</v>
      </c>
      <c r="E387" s="1">
        <v>7.4</v>
      </c>
      <c r="F387" s="1">
        <v>10.3</v>
      </c>
      <c r="G387" s="1">
        <v>8.5</v>
      </c>
      <c r="H387" s="8" t="str">
        <f t="shared" si="17"/>
        <v>km/l</v>
      </c>
      <c r="I387" s="2" cm="1">
        <f t="array" ref="I387">_xlfn.IFS(D387="GASOLINA",24,D387="HIBRIDO",24,D387="ELÉCTRICO",5,D387="DIESEL",27)</f>
        <v>24</v>
      </c>
      <c r="J387" s="1">
        <v>317</v>
      </c>
      <c r="K387" s="1">
        <v>229</v>
      </c>
      <c r="L387" s="1">
        <v>277</v>
      </c>
      <c r="M387" t="s">
        <v>40</v>
      </c>
      <c r="N387" s="5" t="s">
        <v>10</v>
      </c>
    </row>
    <row r="388" spans="1:14">
      <c r="A388" s="4">
        <v>1386</v>
      </c>
      <c r="B388" s="5" t="s">
        <v>376</v>
      </c>
      <c r="C388" s="5" t="s">
        <v>403</v>
      </c>
      <c r="D388" s="5" t="s">
        <v>1</v>
      </c>
      <c r="E388" s="1">
        <v>7.4</v>
      </c>
      <c r="F388" s="1">
        <v>10.3</v>
      </c>
      <c r="G388" s="1">
        <v>8.5</v>
      </c>
      <c r="H388" s="8" t="str">
        <f t="shared" si="17"/>
        <v>km/l</v>
      </c>
      <c r="I388" s="2" cm="1">
        <f t="array" ref="I388">_xlfn.IFS(D388="GASOLINA",24,D388="HIBRIDO",24,D388="ELÉCTRICO",5,D388="DIESEL",27)</f>
        <v>24</v>
      </c>
      <c r="J388" s="1">
        <v>317</v>
      </c>
      <c r="K388" s="1">
        <v>229</v>
      </c>
      <c r="L388" s="1">
        <v>277</v>
      </c>
      <c r="M388" t="s">
        <v>40</v>
      </c>
      <c r="N388" s="5" t="s">
        <v>10</v>
      </c>
    </row>
    <row r="389" spans="1:14">
      <c r="A389" s="4">
        <v>1387</v>
      </c>
      <c r="B389" s="5" t="s">
        <v>376</v>
      </c>
      <c r="C389" s="5" t="s">
        <v>404</v>
      </c>
      <c r="D389" s="5" t="s">
        <v>1</v>
      </c>
      <c r="E389" s="1">
        <v>6.9</v>
      </c>
      <c r="F389" s="1">
        <v>10.8</v>
      </c>
      <c r="G389" s="1">
        <v>8.3000000000000007</v>
      </c>
      <c r="H389" s="8" t="str">
        <f t="shared" si="17"/>
        <v>km/l</v>
      </c>
      <c r="I389" s="2" cm="1">
        <f t="array" ref="I389">_xlfn.IFS(D389="GASOLINA",24,D389="HIBRIDO",24,D389="ELÉCTRICO",5,D389="DIESEL",27)</f>
        <v>24</v>
      </c>
      <c r="J389" s="1">
        <v>338</v>
      </c>
      <c r="K389" s="1">
        <v>218</v>
      </c>
      <c r="L389" s="1">
        <v>284</v>
      </c>
      <c r="M389" t="s">
        <v>40</v>
      </c>
      <c r="N389" s="5" t="s">
        <v>2</v>
      </c>
    </row>
    <row r="390" spans="1:14">
      <c r="A390" s="4">
        <v>1388</v>
      </c>
      <c r="B390" s="5" t="s">
        <v>376</v>
      </c>
      <c r="C390" s="5" t="s">
        <v>405</v>
      </c>
      <c r="D390" s="5" t="s">
        <v>1</v>
      </c>
      <c r="E390" s="1">
        <v>6.9</v>
      </c>
      <c r="F390" s="1">
        <v>10.8</v>
      </c>
      <c r="G390" s="1">
        <v>8.3000000000000007</v>
      </c>
      <c r="H390" s="8" t="str">
        <f t="shared" si="17"/>
        <v>km/l</v>
      </c>
      <c r="I390" s="2" cm="1">
        <f t="array" ref="I390">_xlfn.IFS(D390="GASOLINA",24,D390="HIBRIDO",24,D390="ELÉCTRICO",5,D390="DIESEL",27)</f>
        <v>24</v>
      </c>
      <c r="J390" s="1">
        <v>338</v>
      </c>
      <c r="K390" s="1">
        <v>218</v>
      </c>
      <c r="L390" s="1">
        <v>284</v>
      </c>
      <c r="M390" t="s">
        <v>40</v>
      </c>
      <c r="N390" s="5" t="s">
        <v>2</v>
      </c>
    </row>
    <row r="391" spans="1:14">
      <c r="A391" s="4">
        <v>1389</v>
      </c>
      <c r="B391" s="5" t="s">
        <v>376</v>
      </c>
      <c r="C391" s="5" t="s">
        <v>406</v>
      </c>
      <c r="D391" s="5" t="s">
        <v>17</v>
      </c>
      <c r="E391" s="1">
        <v>10.9</v>
      </c>
      <c r="F391" s="1">
        <v>15.2</v>
      </c>
      <c r="G391" s="1">
        <v>12.5</v>
      </c>
      <c r="H391" s="8" t="str">
        <f t="shared" si="17"/>
        <v>km/l</v>
      </c>
      <c r="I391" s="2" cm="1">
        <f t="array" ref="I391">_xlfn.IFS(D391="GASOLINA",24,D391="HIBRIDO",24,D391="ELÉCTRICO",5,D391="DIESEL",27)</f>
        <v>24</v>
      </c>
      <c r="J391" s="1">
        <v>215</v>
      </c>
      <c r="K391" s="1">
        <v>154</v>
      </c>
      <c r="L391" s="1">
        <v>187</v>
      </c>
      <c r="M391" t="s">
        <v>40</v>
      </c>
      <c r="N391" s="5" t="s">
        <v>10</v>
      </c>
    </row>
    <row r="392" spans="1:14">
      <c r="A392" s="4">
        <v>1390</v>
      </c>
      <c r="B392" s="5" t="s">
        <v>376</v>
      </c>
      <c r="C392" s="5" t="s">
        <v>407</v>
      </c>
      <c r="D392" s="5" t="s">
        <v>17</v>
      </c>
      <c r="E392" s="1">
        <v>11</v>
      </c>
      <c r="F392" s="1">
        <v>15</v>
      </c>
      <c r="G392" s="1">
        <v>12.5</v>
      </c>
      <c r="H392" s="8" t="str">
        <f t="shared" si="17"/>
        <v>km/l</v>
      </c>
      <c r="I392" s="2" cm="1">
        <f t="array" ref="I392">_xlfn.IFS(D392="GASOLINA",24,D392="HIBRIDO",24,D392="ELÉCTRICO",5,D392="DIESEL",27)</f>
        <v>24</v>
      </c>
      <c r="J392" s="1">
        <v>214</v>
      </c>
      <c r="K392" s="1">
        <v>157</v>
      </c>
      <c r="L392" s="1">
        <v>188</v>
      </c>
      <c r="M392" t="s">
        <v>40</v>
      </c>
      <c r="N392" s="5" t="s">
        <v>10</v>
      </c>
    </row>
    <row r="393" spans="1:14">
      <c r="A393" s="4">
        <v>1391</v>
      </c>
      <c r="B393" s="5" t="s">
        <v>376</v>
      </c>
      <c r="C393" s="5" t="s">
        <v>408</v>
      </c>
      <c r="D393" s="5" t="s">
        <v>1</v>
      </c>
      <c r="E393" s="1">
        <v>10.8</v>
      </c>
      <c r="F393" s="1">
        <v>14.9</v>
      </c>
      <c r="G393" s="1">
        <v>12.3</v>
      </c>
      <c r="H393" s="8" t="str">
        <f t="shared" si="17"/>
        <v>km/l</v>
      </c>
      <c r="I393" s="2" cm="1">
        <f t="array" ref="I393">_xlfn.IFS(D393="GASOLINA",24,D393="HIBRIDO",24,D393="ELÉCTRICO",5,D393="DIESEL",27)</f>
        <v>24</v>
      </c>
      <c r="J393" s="1">
        <v>218</v>
      </c>
      <c r="K393" s="1">
        <v>157</v>
      </c>
      <c r="L393" s="1">
        <v>190</v>
      </c>
      <c r="M393" t="s">
        <v>34</v>
      </c>
      <c r="N393" s="5" t="s">
        <v>10</v>
      </c>
    </row>
    <row r="394" spans="1:14">
      <c r="A394" s="4">
        <v>1392</v>
      </c>
      <c r="B394" s="5" t="s">
        <v>376</v>
      </c>
      <c r="C394" s="5" t="s">
        <v>409</v>
      </c>
      <c r="D394" s="5" t="s">
        <v>1</v>
      </c>
      <c r="E394" s="1">
        <v>10.8</v>
      </c>
      <c r="F394" s="1">
        <v>14.9</v>
      </c>
      <c r="G394" s="1">
        <v>12.3</v>
      </c>
      <c r="H394" s="8" t="str">
        <f t="shared" si="17"/>
        <v>km/l</v>
      </c>
      <c r="I394" s="2" cm="1">
        <f t="array" ref="I394">_xlfn.IFS(D394="GASOLINA",24,D394="HIBRIDO",24,D394="ELÉCTRICO",5,D394="DIESEL",27)</f>
        <v>24</v>
      </c>
      <c r="J394" s="1">
        <v>218</v>
      </c>
      <c r="K394" s="1">
        <v>157</v>
      </c>
      <c r="L394" s="1">
        <v>190</v>
      </c>
      <c r="M394" t="s">
        <v>34</v>
      </c>
      <c r="N394" s="5" t="s">
        <v>10</v>
      </c>
    </row>
    <row r="395" spans="1:14">
      <c r="A395" s="4">
        <v>1393</v>
      </c>
      <c r="B395" s="5" t="s">
        <v>376</v>
      </c>
      <c r="C395" s="5" t="s">
        <v>410</v>
      </c>
      <c r="D395" s="5" t="s">
        <v>17</v>
      </c>
      <c r="E395" s="1">
        <v>11.1</v>
      </c>
      <c r="F395" s="1">
        <v>13.8</v>
      </c>
      <c r="G395" s="1">
        <v>12.2</v>
      </c>
      <c r="H395" s="8" t="str">
        <f t="shared" si="17"/>
        <v>km/l</v>
      </c>
      <c r="I395" s="2" cm="1">
        <f t="array" ref="I395">_xlfn.IFS(D395="GASOLINA",24,D395="HIBRIDO",24,D395="ELÉCTRICO",5,D395="DIESEL",27)</f>
        <v>24</v>
      </c>
      <c r="J395" s="1">
        <v>211</v>
      </c>
      <c r="K395" s="1">
        <v>170</v>
      </c>
      <c r="L395" s="1">
        <v>192</v>
      </c>
      <c r="M395" t="s">
        <v>40</v>
      </c>
      <c r="N395" s="5" t="s">
        <v>10</v>
      </c>
    </row>
    <row r="396" spans="1:14">
      <c r="A396" s="4">
        <v>1394</v>
      </c>
      <c r="B396" s="5" t="s">
        <v>376</v>
      </c>
      <c r="C396" s="5" t="s">
        <v>411</v>
      </c>
      <c r="D396" s="5" t="s">
        <v>17</v>
      </c>
      <c r="E396" s="1">
        <v>11.1</v>
      </c>
      <c r="F396" s="1">
        <v>13.8</v>
      </c>
      <c r="G396" s="1">
        <v>12.2</v>
      </c>
      <c r="H396" s="8" t="str">
        <f t="shared" si="17"/>
        <v>km/l</v>
      </c>
      <c r="I396" s="2" cm="1">
        <f t="array" ref="I396">_xlfn.IFS(D396="GASOLINA",24,D396="HIBRIDO",24,D396="ELÉCTRICO",5,D396="DIESEL",27)</f>
        <v>24</v>
      </c>
      <c r="J396" s="1">
        <v>211</v>
      </c>
      <c r="K396" s="1">
        <v>170</v>
      </c>
      <c r="L396" s="1">
        <v>192</v>
      </c>
      <c r="M396" t="s">
        <v>40</v>
      </c>
      <c r="N396" s="5" t="s">
        <v>10</v>
      </c>
    </row>
    <row r="397" spans="1:14">
      <c r="A397" s="4">
        <v>1395</v>
      </c>
      <c r="B397" s="5" t="s">
        <v>376</v>
      </c>
      <c r="C397" s="5" t="s">
        <v>412</v>
      </c>
      <c r="D397" s="5" t="s">
        <v>17</v>
      </c>
      <c r="E397" s="1">
        <v>11</v>
      </c>
      <c r="F397" s="1">
        <v>13.8</v>
      </c>
      <c r="G397" s="1">
        <v>12.1</v>
      </c>
      <c r="H397" s="8" t="str">
        <f t="shared" si="17"/>
        <v>km/l</v>
      </c>
      <c r="I397" s="2" cm="1">
        <f t="array" ref="I397">_xlfn.IFS(D397="GASOLINA",24,D397="HIBRIDO",24,D397="ELÉCTRICO",5,D397="DIESEL",27)</f>
        <v>24</v>
      </c>
      <c r="J397" s="1">
        <v>213</v>
      </c>
      <c r="K397" s="1">
        <v>169</v>
      </c>
      <c r="L397" s="1">
        <v>193</v>
      </c>
      <c r="M397" t="s">
        <v>40</v>
      </c>
      <c r="N397" s="5" t="s">
        <v>10</v>
      </c>
    </row>
    <row r="398" spans="1:14">
      <c r="A398" s="4">
        <v>1396</v>
      </c>
      <c r="B398" s="5" t="s">
        <v>376</v>
      </c>
      <c r="C398" s="5" t="s">
        <v>413</v>
      </c>
      <c r="D398" s="5" t="s">
        <v>17</v>
      </c>
      <c r="E398" s="1">
        <v>11</v>
      </c>
      <c r="F398" s="1">
        <v>13.8</v>
      </c>
      <c r="G398" s="1">
        <v>12.1</v>
      </c>
      <c r="H398" s="8" t="str">
        <f t="shared" si="17"/>
        <v>km/l</v>
      </c>
      <c r="I398" s="2" cm="1">
        <f t="array" ref="I398">_xlfn.IFS(D398="GASOLINA",24,D398="HIBRIDO",24,D398="ELÉCTRICO",5,D398="DIESEL",27)</f>
        <v>24</v>
      </c>
      <c r="J398" s="1">
        <v>213</v>
      </c>
      <c r="K398" s="1">
        <v>169</v>
      </c>
      <c r="L398" s="1">
        <v>193</v>
      </c>
      <c r="M398" t="s">
        <v>40</v>
      </c>
      <c r="N398" s="5" t="s">
        <v>10</v>
      </c>
    </row>
    <row r="399" spans="1:14">
      <c r="A399" s="4">
        <v>1397</v>
      </c>
      <c r="B399" s="5" t="s">
        <v>376</v>
      </c>
      <c r="C399" s="5" t="s">
        <v>414</v>
      </c>
      <c r="D399" s="5" t="s">
        <v>17</v>
      </c>
      <c r="E399" s="1">
        <v>10.3</v>
      </c>
      <c r="F399" s="1">
        <v>14.4</v>
      </c>
      <c r="G399" s="1">
        <v>11.8</v>
      </c>
      <c r="H399" s="8" t="str">
        <f t="shared" si="17"/>
        <v>km/l</v>
      </c>
      <c r="I399" s="2" cm="1">
        <f t="array" ref="I399">_xlfn.IFS(D399="GASOLINA",24,D399="HIBRIDO",24,D399="ELÉCTRICO",5,D399="DIESEL",27)</f>
        <v>24</v>
      </c>
      <c r="J399" s="1">
        <v>228</v>
      </c>
      <c r="K399" s="1">
        <v>163</v>
      </c>
      <c r="L399" s="1">
        <v>198</v>
      </c>
      <c r="M399" t="s">
        <v>230</v>
      </c>
      <c r="N399" s="5" t="s">
        <v>10</v>
      </c>
    </row>
    <row r="400" spans="1:14">
      <c r="A400" s="4">
        <v>1398</v>
      </c>
      <c r="B400" s="5" t="s">
        <v>430</v>
      </c>
      <c r="C400" s="5" t="s">
        <v>415</v>
      </c>
      <c r="D400" s="5" t="s">
        <v>1</v>
      </c>
      <c r="E400" s="1">
        <v>11.8</v>
      </c>
      <c r="F400" s="1">
        <v>16.5</v>
      </c>
      <c r="G400" s="1">
        <v>13.5</v>
      </c>
      <c r="H400" s="8" t="str">
        <f t="shared" ref="H400:H414" si="18">IF(D400="ELÉCTRICO","km/kwh",IF(OR(D400="GASOLINA",D400="HIBRIDO",D400="DIESEL"),"km/l","N/D"))</f>
        <v>km/l</v>
      </c>
      <c r="I400" s="2" cm="1">
        <f t="array" ref="I400">_xlfn.IFS(D400="GASOLINA",24,D400="HIBRIDO",24,D400="ELÉCTRICO",5,D400="DIESEL",27)</f>
        <v>24</v>
      </c>
      <c r="J400" s="1">
        <v>199</v>
      </c>
      <c r="K400" s="1">
        <v>142</v>
      </c>
      <c r="L400" s="1">
        <v>173</v>
      </c>
      <c r="M400" t="s">
        <v>34</v>
      </c>
      <c r="N400" s="5" t="s">
        <v>10</v>
      </c>
    </row>
    <row r="401" spans="1:14">
      <c r="A401" s="4">
        <v>1399</v>
      </c>
      <c r="B401" s="5" t="s">
        <v>430</v>
      </c>
      <c r="C401" s="5" t="s">
        <v>416</v>
      </c>
      <c r="D401" s="5" t="s">
        <v>1</v>
      </c>
      <c r="E401" s="1">
        <v>18</v>
      </c>
      <c r="F401" s="1">
        <v>23.7</v>
      </c>
      <c r="G401" s="1">
        <v>20.2</v>
      </c>
      <c r="H401" s="8" t="str">
        <f t="shared" si="18"/>
        <v>km/l</v>
      </c>
      <c r="I401" s="2" cm="1">
        <f t="array" ref="I401">_xlfn.IFS(D401="GASOLINA",24,D401="HIBRIDO",24,D401="ELÉCTRICO",5,D401="DIESEL",27)</f>
        <v>24</v>
      </c>
      <c r="J401" s="1">
        <v>130</v>
      </c>
      <c r="K401" s="1">
        <v>99</v>
      </c>
      <c r="L401" s="1">
        <v>116</v>
      </c>
      <c r="M401" t="s">
        <v>354</v>
      </c>
      <c r="N401" s="5" t="s">
        <v>2</v>
      </c>
    </row>
    <row r="402" spans="1:14">
      <c r="A402" s="4">
        <v>1400</v>
      </c>
      <c r="B402" s="5" t="s">
        <v>430</v>
      </c>
      <c r="C402" s="5" t="s">
        <v>417</v>
      </c>
      <c r="D402" s="5" t="s">
        <v>1</v>
      </c>
      <c r="E402" s="1">
        <v>17.600000000000001</v>
      </c>
      <c r="F402" s="1">
        <v>23.2</v>
      </c>
      <c r="G402" s="1">
        <v>19.8</v>
      </c>
      <c r="H402" s="8" t="str">
        <f t="shared" si="18"/>
        <v>km/l</v>
      </c>
      <c r="I402" s="2" cm="1">
        <f t="array" ref="I402">_xlfn.IFS(D402="GASOLINA",24,D402="HIBRIDO",24,D402="ELÉCTRICO",5,D402="DIESEL",27)</f>
        <v>24</v>
      </c>
      <c r="J402" s="1">
        <v>133</v>
      </c>
      <c r="K402" s="1">
        <v>101</v>
      </c>
      <c r="L402" s="1">
        <v>118</v>
      </c>
      <c r="M402" t="s">
        <v>34</v>
      </c>
      <c r="N402" s="5" t="s">
        <v>10</v>
      </c>
    </row>
    <row r="403" spans="1:14">
      <c r="A403" s="4">
        <v>1401</v>
      </c>
      <c r="B403" s="5" t="s">
        <v>430</v>
      </c>
      <c r="C403" s="5" t="s">
        <v>418</v>
      </c>
      <c r="D403" s="5" t="s">
        <v>1</v>
      </c>
      <c r="E403" s="1">
        <v>17.2</v>
      </c>
      <c r="F403" s="1">
        <v>21.3</v>
      </c>
      <c r="G403" s="1">
        <v>18.899999999999999</v>
      </c>
      <c r="H403" s="8" t="str">
        <f t="shared" si="18"/>
        <v>km/l</v>
      </c>
      <c r="I403" s="2" cm="1">
        <f t="array" ref="I403">_xlfn.IFS(D403="GASOLINA",24,D403="HIBRIDO",24,D403="ELÉCTRICO",5,D403="DIESEL",27)</f>
        <v>24</v>
      </c>
      <c r="J403" s="1">
        <v>136</v>
      </c>
      <c r="K403" s="1">
        <v>110</v>
      </c>
      <c r="L403" s="1">
        <v>124</v>
      </c>
      <c r="M403" t="s">
        <v>34</v>
      </c>
      <c r="N403" s="5" t="s">
        <v>10</v>
      </c>
    </row>
    <row r="404" spans="1:14">
      <c r="A404" s="4">
        <v>1402</v>
      </c>
      <c r="B404" s="5" t="s">
        <v>430</v>
      </c>
      <c r="C404" s="5" t="s">
        <v>419</v>
      </c>
      <c r="D404" s="5" t="s">
        <v>1</v>
      </c>
      <c r="E404" s="1">
        <v>16.7</v>
      </c>
      <c r="F404" s="1">
        <v>22.3</v>
      </c>
      <c r="G404" s="1">
        <v>18.899999999999999</v>
      </c>
      <c r="H404" s="8" t="str">
        <f t="shared" si="18"/>
        <v>km/l</v>
      </c>
      <c r="I404" s="2" cm="1">
        <f t="array" ref="I404">_xlfn.IFS(D404="GASOLINA",24,D404="HIBRIDO",24,D404="ELÉCTRICO",5,D404="DIESEL",27)</f>
        <v>24</v>
      </c>
      <c r="J404" s="1">
        <v>140</v>
      </c>
      <c r="K404" s="1">
        <v>105</v>
      </c>
      <c r="L404" s="1">
        <v>124</v>
      </c>
      <c r="M404" t="s">
        <v>34</v>
      </c>
      <c r="N404" s="5" t="s">
        <v>2</v>
      </c>
    </row>
    <row r="405" spans="1:14">
      <c r="A405" s="4">
        <v>1403</v>
      </c>
      <c r="B405" s="5" t="s">
        <v>430</v>
      </c>
      <c r="C405" s="5" t="s">
        <v>420</v>
      </c>
      <c r="D405" s="5" t="s">
        <v>1</v>
      </c>
      <c r="E405" s="1">
        <v>15.2</v>
      </c>
      <c r="F405" s="1">
        <v>21.7</v>
      </c>
      <c r="G405" s="1">
        <v>17.600000000000001</v>
      </c>
      <c r="H405" s="8" t="str">
        <f t="shared" si="18"/>
        <v>km/l</v>
      </c>
      <c r="I405" s="2" cm="1">
        <f t="array" ref="I405">_xlfn.IFS(D405="GASOLINA",24,D405="HIBRIDO",24,D405="ELÉCTRICO",5,D405="DIESEL",27)</f>
        <v>24</v>
      </c>
      <c r="J405" s="1">
        <v>154</v>
      </c>
      <c r="K405" s="1">
        <v>108</v>
      </c>
      <c r="L405" s="1">
        <v>133</v>
      </c>
      <c r="M405" t="s">
        <v>34</v>
      </c>
      <c r="N405" s="5" t="s">
        <v>10</v>
      </c>
    </row>
    <row r="406" spans="1:14">
      <c r="A406" s="4">
        <v>1404</v>
      </c>
      <c r="B406" s="5" t="s">
        <v>430</v>
      </c>
      <c r="C406" s="5" t="s">
        <v>421</v>
      </c>
      <c r="D406" s="5" t="s">
        <v>1</v>
      </c>
      <c r="E406" s="1">
        <v>14.3</v>
      </c>
      <c r="F406" s="1">
        <v>21.9</v>
      </c>
      <c r="G406" s="1">
        <v>16.899999999999999</v>
      </c>
      <c r="H406" s="8" t="str">
        <f t="shared" si="18"/>
        <v>km/l</v>
      </c>
      <c r="I406" s="2" cm="1">
        <f t="array" ref="I406">_xlfn.IFS(D406="GASOLINA",24,D406="HIBRIDO",24,D406="ELÉCTRICO",5,D406="DIESEL",27)</f>
        <v>24</v>
      </c>
      <c r="J406" s="1">
        <v>164</v>
      </c>
      <c r="K406" s="1">
        <v>107</v>
      </c>
      <c r="L406" s="1">
        <v>138</v>
      </c>
      <c r="M406" t="s">
        <v>34</v>
      </c>
      <c r="N406" s="5" t="s">
        <v>10</v>
      </c>
    </row>
    <row r="407" spans="1:14">
      <c r="A407" s="4">
        <v>1405</v>
      </c>
      <c r="B407" s="5" t="s">
        <v>430</v>
      </c>
      <c r="C407" s="5" t="s">
        <v>422</v>
      </c>
      <c r="D407" s="5" t="s">
        <v>1</v>
      </c>
      <c r="E407" s="1">
        <v>14.3</v>
      </c>
      <c r="F407" s="1">
        <v>21.5</v>
      </c>
      <c r="G407" s="1">
        <v>16.8</v>
      </c>
      <c r="H407" s="8" t="str">
        <f t="shared" si="18"/>
        <v>km/l</v>
      </c>
      <c r="I407" s="2" cm="1">
        <f t="array" ref="I407">_xlfn.IFS(D407="GASOLINA",24,D407="HIBRIDO",24,D407="ELÉCTRICO",5,D407="DIESEL",27)</f>
        <v>24</v>
      </c>
      <c r="J407" s="1">
        <v>164</v>
      </c>
      <c r="K407" s="1">
        <v>109</v>
      </c>
      <c r="L407" s="1">
        <v>139</v>
      </c>
      <c r="M407" t="s">
        <v>34</v>
      </c>
      <c r="N407" s="5" t="s">
        <v>10</v>
      </c>
    </row>
    <row r="408" spans="1:14">
      <c r="A408" s="4">
        <v>1406</v>
      </c>
      <c r="B408" s="5" t="s">
        <v>430</v>
      </c>
      <c r="C408" s="5" t="s">
        <v>423</v>
      </c>
      <c r="D408" s="5" t="s">
        <v>1</v>
      </c>
      <c r="E408" s="1">
        <v>14.9</v>
      </c>
      <c r="F408" s="1">
        <v>19.899999999999999</v>
      </c>
      <c r="G408" s="1">
        <v>16.8</v>
      </c>
      <c r="H408" s="8" t="str">
        <f t="shared" si="18"/>
        <v>km/l</v>
      </c>
      <c r="I408" s="2" cm="1">
        <f t="array" ref="I408">_xlfn.IFS(D408="GASOLINA",24,D408="HIBRIDO",24,D408="ELÉCTRICO",5,D408="DIESEL",27)</f>
        <v>24</v>
      </c>
      <c r="J408" s="1">
        <v>157</v>
      </c>
      <c r="K408" s="1">
        <v>118</v>
      </c>
      <c r="L408" s="1">
        <v>139</v>
      </c>
      <c r="M408" t="s">
        <v>34</v>
      </c>
      <c r="N408" s="5" t="s">
        <v>10</v>
      </c>
    </row>
    <row r="409" spans="1:14">
      <c r="A409" s="4">
        <v>1407</v>
      </c>
      <c r="B409" s="5" t="s">
        <v>430</v>
      </c>
      <c r="C409" s="5" t="s">
        <v>424</v>
      </c>
      <c r="D409" s="5" t="s">
        <v>1</v>
      </c>
      <c r="E409" s="1">
        <v>14.9</v>
      </c>
      <c r="F409" s="1">
        <v>19.5</v>
      </c>
      <c r="G409" s="1">
        <v>16.7</v>
      </c>
      <c r="H409" s="8" t="str">
        <f t="shared" si="18"/>
        <v>km/l</v>
      </c>
      <c r="I409" s="2" cm="1">
        <f t="array" ref="I409">_xlfn.IFS(D409="GASOLINA",24,D409="HIBRIDO",24,D409="ELÉCTRICO",5,D409="DIESEL",27)</f>
        <v>24</v>
      </c>
      <c r="J409" s="1">
        <v>157</v>
      </c>
      <c r="K409" s="1">
        <v>120</v>
      </c>
      <c r="L409" s="1">
        <v>140</v>
      </c>
      <c r="M409" t="s">
        <v>34</v>
      </c>
      <c r="N409" s="5" t="s">
        <v>10</v>
      </c>
    </row>
    <row r="410" spans="1:14">
      <c r="A410" s="4">
        <v>1408</v>
      </c>
      <c r="B410" s="5" t="s">
        <v>430</v>
      </c>
      <c r="C410" s="5" t="s">
        <v>425</v>
      </c>
      <c r="D410" s="5" t="s">
        <v>1</v>
      </c>
      <c r="E410" s="1">
        <v>14.5</v>
      </c>
      <c r="F410" s="1">
        <v>19.899999999999999</v>
      </c>
      <c r="G410" s="1">
        <v>16.5</v>
      </c>
      <c r="H410" s="8" t="str">
        <f t="shared" si="18"/>
        <v>km/l</v>
      </c>
      <c r="I410" s="2" cm="1">
        <f t="array" ref="I410">_xlfn.IFS(D410="GASOLINA",24,D410="HIBRIDO",24,D410="ELÉCTRICO",5,D410="DIESEL",27)</f>
        <v>24</v>
      </c>
      <c r="J410" s="1">
        <v>162</v>
      </c>
      <c r="K410" s="1">
        <v>118</v>
      </c>
      <c r="L410" s="1">
        <v>142</v>
      </c>
      <c r="M410" t="s">
        <v>34</v>
      </c>
      <c r="N410" s="5" t="s">
        <v>10</v>
      </c>
    </row>
    <row r="411" spans="1:14">
      <c r="A411" s="4">
        <v>1409</v>
      </c>
      <c r="B411" s="5" t="s">
        <v>430</v>
      </c>
      <c r="C411" s="5" t="s">
        <v>426</v>
      </c>
      <c r="D411" s="5" t="s">
        <v>1</v>
      </c>
      <c r="E411" s="1">
        <v>13.5</v>
      </c>
      <c r="F411" s="1">
        <v>20.100000000000001</v>
      </c>
      <c r="G411" s="1">
        <v>15.8</v>
      </c>
      <c r="H411" s="8" t="str">
        <f t="shared" si="18"/>
        <v>km/l</v>
      </c>
      <c r="I411" s="2" cm="1">
        <f t="array" ref="I411">_xlfn.IFS(D411="GASOLINA",24,D411="HIBRIDO",24,D411="ELÉCTRICO",5,D411="DIESEL",27)</f>
        <v>24</v>
      </c>
      <c r="J411" s="1">
        <v>174</v>
      </c>
      <c r="K411" s="1">
        <v>117</v>
      </c>
      <c r="L411" s="1">
        <v>148</v>
      </c>
      <c r="M411" t="s">
        <v>34</v>
      </c>
      <c r="N411" s="5" t="s">
        <v>10</v>
      </c>
    </row>
    <row r="412" spans="1:14">
      <c r="A412" s="4">
        <v>1410</v>
      </c>
      <c r="B412" s="5" t="s">
        <v>430</v>
      </c>
      <c r="C412" s="5" t="s">
        <v>427</v>
      </c>
      <c r="D412" s="5" t="s">
        <v>1</v>
      </c>
      <c r="E412" s="1">
        <v>13.2</v>
      </c>
      <c r="F412" s="1">
        <v>17.899999999999999</v>
      </c>
      <c r="G412" s="1">
        <v>15</v>
      </c>
      <c r="H412" s="8" t="str">
        <f t="shared" si="18"/>
        <v>km/l</v>
      </c>
      <c r="I412" s="2" cm="1">
        <f t="array" ref="I412">_xlfn.IFS(D412="GASOLINA",24,D412="HIBRIDO",24,D412="ELÉCTRICO",5,D412="DIESEL",27)</f>
        <v>24</v>
      </c>
      <c r="J412" s="1">
        <v>177</v>
      </c>
      <c r="K412" s="1">
        <v>131</v>
      </c>
      <c r="L412" s="1">
        <v>156</v>
      </c>
      <c r="M412" t="s">
        <v>34</v>
      </c>
      <c r="N412" s="5" t="s">
        <v>10</v>
      </c>
    </row>
    <row r="413" spans="1:14">
      <c r="A413" s="4">
        <v>1411</v>
      </c>
      <c r="B413" s="5" t="s">
        <v>430</v>
      </c>
      <c r="C413" s="5" t="s">
        <v>428</v>
      </c>
      <c r="D413" s="5" t="s">
        <v>1</v>
      </c>
      <c r="E413" s="1">
        <v>12.3</v>
      </c>
      <c r="F413" s="1">
        <v>17.100000000000001</v>
      </c>
      <c r="G413" s="1">
        <v>14.1</v>
      </c>
      <c r="H413" s="8" t="str">
        <f t="shared" si="18"/>
        <v>km/l</v>
      </c>
      <c r="I413" s="2" cm="1">
        <f t="array" ref="I413">_xlfn.IFS(D413="GASOLINA",24,D413="HIBRIDO",24,D413="ELÉCTRICO",5,D413="DIESEL",27)</f>
        <v>24</v>
      </c>
      <c r="J413" s="1">
        <v>191</v>
      </c>
      <c r="K413" s="1">
        <v>137</v>
      </c>
      <c r="L413" s="1">
        <v>166</v>
      </c>
      <c r="M413" t="s">
        <v>34</v>
      </c>
      <c r="N413" s="5" t="s">
        <v>10</v>
      </c>
    </row>
    <row r="414" spans="1:14">
      <c r="A414" s="4">
        <v>1412</v>
      </c>
      <c r="B414" s="5" t="s">
        <v>430</v>
      </c>
      <c r="C414" s="5" t="s">
        <v>429</v>
      </c>
      <c r="D414" s="5" t="s">
        <v>1</v>
      </c>
      <c r="E414" s="1">
        <v>12.3</v>
      </c>
      <c r="F414" s="1">
        <v>17.100000000000001</v>
      </c>
      <c r="G414" s="1">
        <v>14.1</v>
      </c>
      <c r="H414" s="8" t="str">
        <f t="shared" si="18"/>
        <v>km/l</v>
      </c>
      <c r="I414" s="2" cm="1">
        <f t="array" ref="I414">_xlfn.IFS(D414="GASOLINA",24,D414="HIBRIDO",24,D414="ELÉCTRICO",5,D414="DIESEL",27)</f>
        <v>24</v>
      </c>
      <c r="J414" s="1">
        <v>191</v>
      </c>
      <c r="K414" s="1">
        <v>137</v>
      </c>
      <c r="L414" s="1">
        <v>166</v>
      </c>
      <c r="M414" t="s">
        <v>34</v>
      </c>
      <c r="N414" s="5" t="s">
        <v>10</v>
      </c>
    </row>
    <row r="415" spans="1:14">
      <c r="A415" s="4">
        <v>1413</v>
      </c>
      <c r="B415" s="5" t="s">
        <v>436</v>
      </c>
      <c r="C415" s="5" t="s">
        <v>431</v>
      </c>
      <c r="D415" s="5" t="s">
        <v>1</v>
      </c>
      <c r="E415" s="1">
        <v>12.38</v>
      </c>
      <c r="F415" s="1">
        <v>18.8</v>
      </c>
      <c r="G415" s="1">
        <v>14.63</v>
      </c>
      <c r="H415" s="8" t="str">
        <f t="shared" ref="H415:H419" si="19">IF(D415="ELÉCTRICO","km/kwh",IF(OR(D415="GASOLINA",D415="HIBRIDO",D415="DIESEL"),"km/l","N/D"))</f>
        <v>km/l</v>
      </c>
      <c r="I415" s="2" cm="1">
        <f t="array" ref="I415">_xlfn.IFS(D415="GASOLINA",24,D415="HIBRIDO",24,D415="ELÉCTRICO",5,D415="DIESEL",27)</f>
        <v>24</v>
      </c>
      <c r="J415" s="1">
        <v>184.62</v>
      </c>
      <c r="K415" s="1">
        <v>121.59</v>
      </c>
      <c r="L415" s="1">
        <v>156.26</v>
      </c>
      <c r="M415" t="s">
        <v>34</v>
      </c>
      <c r="N415" s="5" t="s">
        <v>10</v>
      </c>
    </row>
    <row r="416" spans="1:14">
      <c r="A416" s="4">
        <v>1414</v>
      </c>
      <c r="B416" s="5" t="s">
        <v>436</v>
      </c>
      <c r="C416" s="5" t="s">
        <v>432</v>
      </c>
      <c r="D416" s="5" t="s">
        <v>1</v>
      </c>
      <c r="E416" s="1">
        <v>10.64</v>
      </c>
      <c r="F416" s="1">
        <v>16.39</v>
      </c>
      <c r="G416" s="1">
        <v>13.7</v>
      </c>
      <c r="H416" s="8" t="str">
        <f t="shared" si="19"/>
        <v>km/l</v>
      </c>
      <c r="I416" s="2" cm="1">
        <f t="array" ref="I416">_xlfn.IFS(D416="GASOLINA",24,D416="HIBRIDO",24,D416="ELÉCTRICO",5,D416="DIESEL",27)</f>
        <v>24</v>
      </c>
      <c r="J416" s="1">
        <v>223</v>
      </c>
      <c r="K416" s="1">
        <v>143</v>
      </c>
      <c r="L416" s="1">
        <v>173</v>
      </c>
      <c r="M416" t="s">
        <v>34</v>
      </c>
      <c r="N416" s="5" t="s">
        <v>4</v>
      </c>
    </row>
    <row r="417" spans="1:14">
      <c r="A417" s="4">
        <v>1415</v>
      </c>
      <c r="B417" s="5" t="s">
        <v>436</v>
      </c>
      <c r="C417" s="5" t="s">
        <v>433</v>
      </c>
      <c r="D417" s="5" t="s">
        <v>1</v>
      </c>
      <c r="E417" s="1">
        <v>10.6</v>
      </c>
      <c r="F417" s="1">
        <v>16.440000000000001</v>
      </c>
      <c r="G417" s="1">
        <v>12.62</v>
      </c>
      <c r="H417" s="8" t="str">
        <f t="shared" si="19"/>
        <v>km/l</v>
      </c>
      <c r="I417" s="2" cm="1">
        <f t="array" ref="I417">_xlfn.IFS(D417="GASOLINA",24,D417="HIBRIDO",24,D417="ELÉCTRICO",5,D417="DIESEL",27)</f>
        <v>24</v>
      </c>
      <c r="J417" s="1">
        <v>215.58</v>
      </c>
      <c r="K417" s="1">
        <v>139.09</v>
      </c>
      <c r="L417" s="1">
        <v>181.16</v>
      </c>
      <c r="M417" t="s">
        <v>34</v>
      </c>
      <c r="N417" s="5" t="s">
        <v>4</v>
      </c>
    </row>
    <row r="418" spans="1:14">
      <c r="A418" s="4">
        <v>1416</v>
      </c>
      <c r="B418" s="5" t="s">
        <v>436</v>
      </c>
      <c r="C418" s="5" t="s">
        <v>434</v>
      </c>
      <c r="D418" s="5" t="s">
        <v>1</v>
      </c>
      <c r="E418" s="1">
        <v>12.16</v>
      </c>
      <c r="F418" s="1">
        <v>17.28</v>
      </c>
      <c r="G418" s="1">
        <v>14.03</v>
      </c>
      <c r="H418" s="8" t="str">
        <f t="shared" si="19"/>
        <v>km/l</v>
      </c>
      <c r="I418" s="2" cm="1">
        <f t="array" ref="I418">_xlfn.IFS(D418="GASOLINA",24,D418="HIBRIDO",24,D418="ELÉCTRICO",5,D418="DIESEL",27)</f>
        <v>24</v>
      </c>
      <c r="J418" s="1">
        <v>187</v>
      </c>
      <c r="K418" s="1">
        <v>132</v>
      </c>
      <c r="L418" s="1">
        <v>162</v>
      </c>
      <c r="M418" t="s">
        <v>34</v>
      </c>
      <c r="N418" s="5" t="s">
        <v>4</v>
      </c>
    </row>
    <row r="419" spans="1:14">
      <c r="A419" s="4">
        <v>1417</v>
      </c>
      <c r="B419" s="5" t="s">
        <v>436</v>
      </c>
      <c r="C419" s="5" t="s">
        <v>435</v>
      </c>
      <c r="D419" s="5" t="s">
        <v>1</v>
      </c>
      <c r="E419" s="1">
        <v>12.15</v>
      </c>
      <c r="F419" s="1">
        <v>17.25</v>
      </c>
      <c r="G419" s="1">
        <v>14.01</v>
      </c>
      <c r="H419" s="8" t="str">
        <f t="shared" si="19"/>
        <v>km/l</v>
      </c>
      <c r="I419" s="2" cm="1">
        <f t="array" ref="I419">_xlfn.IFS(D419="GASOLINA",24,D419="HIBRIDO",24,D419="ELÉCTRICO",5,D419="DIESEL",27)</f>
        <v>24</v>
      </c>
      <c r="J419" s="1">
        <v>187</v>
      </c>
      <c r="K419" s="1">
        <v>131</v>
      </c>
      <c r="L419" s="1">
        <v>162</v>
      </c>
      <c r="M419" t="s">
        <v>34</v>
      </c>
      <c r="N419" s="5" t="s">
        <v>4</v>
      </c>
    </row>
    <row r="420" spans="1:14">
      <c r="A420" s="4">
        <v>1418</v>
      </c>
      <c r="B420" s="5" t="s">
        <v>437</v>
      </c>
      <c r="C420" s="5" t="s">
        <v>438</v>
      </c>
      <c r="D420" s="5" t="s">
        <v>17</v>
      </c>
      <c r="E420" s="1">
        <v>23.11</v>
      </c>
      <c r="F420" s="1">
        <v>28.2</v>
      </c>
      <c r="G420" s="1">
        <v>25.15</v>
      </c>
      <c r="H420" s="8" t="str">
        <f t="shared" ref="H420:H434" si="20">IF(D420="ELÉCTRICO","km/kwh",IF(OR(D420="GASOLINA",D420="HIBRIDO",D420="DIESEL"),"km/l","N/D"))</f>
        <v>km/l</v>
      </c>
      <c r="I420" s="2" cm="1">
        <f t="array" ref="I420">_xlfn.IFS(D420="GASOLINA",24,D420="HIBRIDO",24,D420="ELÉCTRICO",5,D420="DIESEL",27)</f>
        <v>24</v>
      </c>
      <c r="J420" s="1">
        <v>101.6</v>
      </c>
      <c r="K420" s="1">
        <v>83.5</v>
      </c>
      <c r="L420" s="1">
        <v>93.42</v>
      </c>
      <c r="M420" t="s">
        <v>354</v>
      </c>
      <c r="N420" s="5" t="s">
        <v>5</v>
      </c>
    </row>
    <row r="421" spans="1:14">
      <c r="A421" s="4">
        <v>1419</v>
      </c>
      <c r="B421" s="5" t="s">
        <v>437</v>
      </c>
      <c r="C421" s="5" t="s">
        <v>439</v>
      </c>
      <c r="D421" s="5" t="s">
        <v>17</v>
      </c>
      <c r="E421" s="1">
        <v>20.97</v>
      </c>
      <c r="F421" s="1">
        <v>29.21</v>
      </c>
      <c r="G421" s="1">
        <v>24.02</v>
      </c>
      <c r="H421" s="8" t="str">
        <f t="shared" si="20"/>
        <v>km/l</v>
      </c>
      <c r="I421" s="2" cm="1">
        <f t="array" ref="I421">_xlfn.IFS(D421="GASOLINA",24,D421="HIBRIDO",24,D421="ELÉCTRICO",5,D421="DIESEL",27)</f>
        <v>24</v>
      </c>
      <c r="J421" s="1">
        <v>111.9</v>
      </c>
      <c r="K421" s="1">
        <v>80.5</v>
      </c>
      <c r="L421" s="1">
        <v>97.8</v>
      </c>
      <c r="M421" t="s">
        <v>354</v>
      </c>
      <c r="N421" s="5" t="s">
        <v>2</v>
      </c>
    </row>
    <row r="422" spans="1:14">
      <c r="A422" s="4">
        <v>1420</v>
      </c>
      <c r="B422" s="5" t="s">
        <v>437</v>
      </c>
      <c r="C422" s="5" t="s">
        <v>440</v>
      </c>
      <c r="D422" s="5" t="s">
        <v>17</v>
      </c>
      <c r="E422" s="1">
        <v>21.75</v>
      </c>
      <c r="F422" s="1">
        <v>29.6</v>
      </c>
      <c r="G422" s="1">
        <v>24.7</v>
      </c>
      <c r="H422" s="8" t="str">
        <f t="shared" si="20"/>
        <v>km/l</v>
      </c>
      <c r="I422" s="2" cm="1">
        <f t="array" ref="I422">_xlfn.IFS(D422="GASOLINA",24,D422="HIBRIDO",24,D422="ELÉCTRICO",5,D422="DIESEL",27)</f>
        <v>24</v>
      </c>
      <c r="J422" s="1">
        <v>107</v>
      </c>
      <c r="K422" s="1">
        <v>79</v>
      </c>
      <c r="L422" s="1">
        <v>95</v>
      </c>
      <c r="M422" t="s">
        <v>354</v>
      </c>
      <c r="N422" s="5" t="s">
        <v>2</v>
      </c>
    </row>
    <row r="423" spans="1:14">
      <c r="A423" s="4">
        <v>1421</v>
      </c>
      <c r="B423" s="5" t="s">
        <v>437</v>
      </c>
      <c r="C423" s="5" t="s">
        <v>441</v>
      </c>
      <c r="D423" s="5" t="s">
        <v>17</v>
      </c>
      <c r="E423" s="1">
        <v>24.63</v>
      </c>
      <c r="F423" s="1">
        <v>29.2</v>
      </c>
      <c r="G423" s="1">
        <v>26.5</v>
      </c>
      <c r="H423" s="8" t="str">
        <f t="shared" si="20"/>
        <v>km/l</v>
      </c>
      <c r="I423" s="2" cm="1">
        <f t="array" ref="I423">_xlfn.IFS(D423="GASOLINA",24,D423="HIBRIDO",24,D423="ELÉCTRICO",5,D423="DIESEL",27)</f>
        <v>24</v>
      </c>
      <c r="J423" s="1">
        <v>95</v>
      </c>
      <c r="K423" s="1">
        <v>80</v>
      </c>
      <c r="L423" s="1">
        <v>88</v>
      </c>
      <c r="M423" t="s">
        <v>354</v>
      </c>
      <c r="N423" s="5" t="s">
        <v>10</v>
      </c>
    </row>
    <row r="424" spans="1:14">
      <c r="A424" s="4">
        <v>1422</v>
      </c>
      <c r="B424" s="5" t="s">
        <v>437</v>
      </c>
      <c r="C424" s="5" t="s">
        <v>442</v>
      </c>
      <c r="D424" s="5" t="s">
        <v>17</v>
      </c>
      <c r="E424" s="1">
        <v>16.100000000000001</v>
      </c>
      <c r="F424" s="1">
        <v>20.2</v>
      </c>
      <c r="G424" s="1">
        <v>17.7</v>
      </c>
      <c r="H424" s="8" t="str">
        <f t="shared" si="20"/>
        <v>km/l</v>
      </c>
      <c r="I424" s="2" cm="1">
        <f t="array" ref="I424">_xlfn.IFS(D424="GASOLINA",24,D424="HIBRIDO",24,D424="ELÉCTRICO",5,D424="DIESEL",27)</f>
        <v>24</v>
      </c>
      <c r="J424" s="1">
        <v>145</v>
      </c>
      <c r="K424" s="1">
        <v>115</v>
      </c>
      <c r="L424" s="1">
        <v>132</v>
      </c>
      <c r="M424" t="s">
        <v>34</v>
      </c>
      <c r="N424" s="5" t="s">
        <v>10</v>
      </c>
    </row>
    <row r="425" spans="1:14">
      <c r="A425" s="4">
        <v>1423</v>
      </c>
      <c r="B425" s="5" t="s">
        <v>437</v>
      </c>
      <c r="C425" s="5" t="s">
        <v>443</v>
      </c>
      <c r="D425" s="5" t="s">
        <v>17</v>
      </c>
      <c r="E425" s="1">
        <v>18.010000000000002</v>
      </c>
      <c r="F425" s="1">
        <v>22.1</v>
      </c>
      <c r="G425" s="1">
        <v>19.8</v>
      </c>
      <c r="H425" s="8" t="str">
        <f t="shared" si="20"/>
        <v>km/l</v>
      </c>
      <c r="I425" s="2" cm="1">
        <f t="array" ref="I425">_xlfn.IFS(D425="GASOLINA",24,D425="HIBRIDO",24,D425="ELÉCTRICO",5,D425="DIESEL",27)</f>
        <v>24</v>
      </c>
      <c r="J425" s="1">
        <v>130</v>
      </c>
      <c r="K425" s="1">
        <v>106</v>
      </c>
      <c r="L425" s="1">
        <v>119</v>
      </c>
      <c r="M425" t="s">
        <v>34</v>
      </c>
      <c r="N425" s="5" t="s">
        <v>10</v>
      </c>
    </row>
    <row r="426" spans="1:14">
      <c r="A426" s="4">
        <v>1424</v>
      </c>
      <c r="B426" s="5" t="s">
        <v>437</v>
      </c>
      <c r="C426" s="5" t="s">
        <v>444</v>
      </c>
      <c r="D426" s="5" t="s">
        <v>1</v>
      </c>
      <c r="E426" s="1">
        <v>18.7</v>
      </c>
      <c r="F426" s="1">
        <v>23.4</v>
      </c>
      <c r="G426" s="1">
        <v>20.5</v>
      </c>
      <c r="H426" s="8" t="str">
        <f t="shared" si="20"/>
        <v>km/l</v>
      </c>
      <c r="I426" s="2" cm="1">
        <f t="array" ref="I426">_xlfn.IFS(D426="GASOLINA",24,D426="HIBRIDO",24,D426="ELÉCTRICO",5,D426="DIESEL",27)</f>
        <v>24</v>
      </c>
      <c r="J426" s="1">
        <v>125</v>
      </c>
      <c r="K426" s="1">
        <v>100</v>
      </c>
      <c r="L426" s="1">
        <v>114</v>
      </c>
      <c r="M426" t="s">
        <v>34</v>
      </c>
      <c r="N426" s="5" t="s">
        <v>10</v>
      </c>
    </row>
    <row r="427" spans="1:14">
      <c r="A427" s="4">
        <v>1425</v>
      </c>
      <c r="B427" s="5" t="s">
        <v>437</v>
      </c>
      <c r="C427" s="5" t="s">
        <v>445</v>
      </c>
      <c r="D427" s="5" t="s">
        <v>17</v>
      </c>
      <c r="E427" s="1">
        <v>18.96</v>
      </c>
      <c r="F427" s="1">
        <v>23.9</v>
      </c>
      <c r="G427" s="1">
        <v>20.9</v>
      </c>
      <c r="H427" s="8" t="str">
        <f t="shared" si="20"/>
        <v>km/l</v>
      </c>
      <c r="I427" s="2" cm="1">
        <f t="array" ref="I427">_xlfn.IFS(D427="GASOLINA",24,D427="HIBRIDO",24,D427="ELÉCTRICO",5,D427="DIESEL",27)</f>
        <v>24</v>
      </c>
      <c r="J427" s="1">
        <v>123</v>
      </c>
      <c r="K427" s="1">
        <v>98</v>
      </c>
      <c r="L427" s="1">
        <v>112</v>
      </c>
      <c r="M427" t="s">
        <v>34</v>
      </c>
      <c r="N427" s="5" t="s">
        <v>10</v>
      </c>
    </row>
    <row r="428" spans="1:14">
      <c r="A428" s="4">
        <v>1426</v>
      </c>
      <c r="B428" s="5" t="s">
        <v>437</v>
      </c>
      <c r="C428" s="5" t="s">
        <v>446</v>
      </c>
      <c r="D428" s="5" t="s">
        <v>17</v>
      </c>
      <c r="E428" s="1">
        <v>16.7</v>
      </c>
      <c r="F428" s="1">
        <v>20.7</v>
      </c>
      <c r="G428" s="1">
        <v>18.3</v>
      </c>
      <c r="H428" s="8" t="str">
        <f t="shared" si="20"/>
        <v>km/l</v>
      </c>
      <c r="I428" s="2" cm="1">
        <f t="array" ref="I428">_xlfn.IFS(D428="GASOLINA",24,D428="HIBRIDO",24,D428="ELÉCTRICO",5,D428="DIESEL",27)</f>
        <v>24</v>
      </c>
      <c r="J428" s="1">
        <v>139</v>
      </c>
      <c r="K428" s="1">
        <v>112</v>
      </c>
      <c r="L428" s="1">
        <v>128</v>
      </c>
      <c r="M428" t="s">
        <v>34</v>
      </c>
      <c r="N428" s="5" t="s">
        <v>10</v>
      </c>
    </row>
    <row r="429" spans="1:14">
      <c r="A429" s="4">
        <v>1427</v>
      </c>
      <c r="B429" s="5" t="s">
        <v>437</v>
      </c>
      <c r="C429" s="5" t="s">
        <v>447</v>
      </c>
      <c r="D429" s="5" t="s">
        <v>1</v>
      </c>
      <c r="E429" s="1">
        <v>14.2</v>
      </c>
      <c r="F429" s="1">
        <v>17.2</v>
      </c>
      <c r="G429" s="1">
        <v>15.4</v>
      </c>
      <c r="H429" s="8" t="str">
        <f t="shared" si="20"/>
        <v>km/l</v>
      </c>
      <c r="I429" s="2" cm="1">
        <f t="array" ref="I429">_xlfn.IFS(D429="GASOLINA",24,D429="HIBRIDO",24,D429="ELÉCTRICO",5,D429="DIESEL",27)</f>
        <v>24</v>
      </c>
      <c r="J429" s="1">
        <v>165</v>
      </c>
      <c r="K429" s="1">
        <v>136</v>
      </c>
      <c r="L429" s="1">
        <v>152</v>
      </c>
      <c r="M429" t="s">
        <v>34</v>
      </c>
      <c r="N429" s="5" t="s">
        <v>2</v>
      </c>
    </row>
    <row r="430" spans="1:14">
      <c r="A430" s="4">
        <v>1428</v>
      </c>
      <c r="B430" s="5" t="s">
        <v>437</v>
      </c>
      <c r="C430" s="5" t="s">
        <v>448</v>
      </c>
      <c r="D430" s="5" t="s">
        <v>1</v>
      </c>
      <c r="E430" s="1">
        <v>14.4</v>
      </c>
      <c r="F430" s="1">
        <v>16.100000000000001</v>
      </c>
      <c r="G430" s="1">
        <v>15.1</v>
      </c>
      <c r="H430" s="8" t="str">
        <f t="shared" si="20"/>
        <v>km/l</v>
      </c>
      <c r="I430" s="2" cm="1">
        <f t="array" ref="I430">_xlfn.IFS(D430="GASOLINA",24,D430="HIBRIDO",24,D430="ELÉCTRICO",5,D430="DIESEL",27)</f>
        <v>24</v>
      </c>
      <c r="J430" s="1">
        <v>163</v>
      </c>
      <c r="K430" s="1">
        <v>145</v>
      </c>
      <c r="L430" s="1">
        <v>155</v>
      </c>
      <c r="M430" t="s">
        <v>34</v>
      </c>
      <c r="N430" s="5" t="s">
        <v>10</v>
      </c>
    </row>
    <row r="431" spans="1:14">
      <c r="A431" s="4">
        <v>1429</v>
      </c>
      <c r="B431" s="5" t="s">
        <v>437</v>
      </c>
      <c r="C431" s="5" t="s">
        <v>449</v>
      </c>
      <c r="D431" s="5" t="s">
        <v>1</v>
      </c>
      <c r="E431" s="1">
        <v>13.4</v>
      </c>
      <c r="F431" s="1">
        <v>15.3</v>
      </c>
      <c r="G431" s="1">
        <v>14.2</v>
      </c>
      <c r="H431" s="8" t="str">
        <f t="shared" si="20"/>
        <v>km/l</v>
      </c>
      <c r="I431" s="2" cm="1">
        <f t="array" ref="I431">_xlfn.IFS(D431="GASOLINA",24,D431="HIBRIDO",24,D431="ELÉCTRICO",5,D431="DIESEL",27)</f>
        <v>24</v>
      </c>
      <c r="J431" s="1">
        <v>174</v>
      </c>
      <c r="K431" s="1">
        <v>153</v>
      </c>
      <c r="L431" s="1">
        <v>165</v>
      </c>
      <c r="M431" t="s">
        <v>34</v>
      </c>
      <c r="N431" s="5" t="s">
        <v>10</v>
      </c>
    </row>
    <row r="432" spans="1:14">
      <c r="A432" s="4">
        <v>1430</v>
      </c>
      <c r="B432" s="5" t="s">
        <v>437</v>
      </c>
      <c r="C432" s="5" t="s">
        <v>450</v>
      </c>
      <c r="D432" s="5" t="s">
        <v>1</v>
      </c>
      <c r="E432" s="1">
        <v>13.7</v>
      </c>
      <c r="F432" s="1">
        <v>16.5</v>
      </c>
      <c r="G432" s="1">
        <v>14.8</v>
      </c>
      <c r="H432" s="8" t="str">
        <f t="shared" si="20"/>
        <v>km/l</v>
      </c>
      <c r="I432" s="2" cm="1">
        <f t="array" ref="I432">_xlfn.IFS(D432="GASOLINA",24,D432="HIBRIDO",24,D432="ELÉCTRICO",5,D432="DIESEL",27)</f>
        <v>24</v>
      </c>
      <c r="J432" s="1">
        <v>171</v>
      </c>
      <c r="K432" s="1">
        <v>142</v>
      </c>
      <c r="L432" s="1">
        <v>158</v>
      </c>
      <c r="M432" t="s">
        <v>34</v>
      </c>
      <c r="N432" s="5" t="s">
        <v>2</v>
      </c>
    </row>
    <row r="433" spans="1:14">
      <c r="A433" s="4">
        <v>1431</v>
      </c>
      <c r="B433" s="5" t="s">
        <v>437</v>
      </c>
      <c r="C433" s="5" t="s">
        <v>451</v>
      </c>
      <c r="D433" s="5" t="s">
        <v>17</v>
      </c>
      <c r="E433" s="1">
        <v>15.1</v>
      </c>
      <c r="F433" s="1">
        <v>20.100000000000001</v>
      </c>
      <c r="G433" s="1">
        <v>17</v>
      </c>
      <c r="H433" s="8" t="str">
        <f t="shared" si="20"/>
        <v>km/l</v>
      </c>
      <c r="I433" s="2" cm="1">
        <f t="array" ref="I433">_xlfn.IFS(D433="GASOLINA",24,D433="HIBRIDO",24,D433="ELÉCTRICO",5,D433="DIESEL",27)</f>
        <v>24</v>
      </c>
      <c r="J433" s="1">
        <v>153</v>
      </c>
      <c r="K433" s="1">
        <v>115</v>
      </c>
      <c r="L433" s="1">
        <v>137</v>
      </c>
      <c r="M433" t="s">
        <v>34</v>
      </c>
      <c r="N433" s="5" t="s">
        <v>2</v>
      </c>
    </row>
    <row r="434" spans="1:14">
      <c r="A434" s="4">
        <v>1432</v>
      </c>
      <c r="B434" s="5" t="s">
        <v>437</v>
      </c>
      <c r="C434" s="5" t="s">
        <v>452</v>
      </c>
      <c r="D434" s="5" t="s">
        <v>17</v>
      </c>
      <c r="E434" s="1">
        <v>19.55</v>
      </c>
      <c r="F434" s="1">
        <v>23.8</v>
      </c>
      <c r="G434" s="1">
        <v>21.3</v>
      </c>
      <c r="H434" s="8" t="str">
        <f t="shared" si="20"/>
        <v>km/l</v>
      </c>
      <c r="I434" s="2" cm="1">
        <f t="array" ref="I434">_xlfn.IFS(D434="GASOLINA",24,D434="HIBRIDO",24,D434="ELÉCTRICO",5,D434="DIESEL",27)</f>
        <v>24</v>
      </c>
      <c r="J434" s="1">
        <v>119.81</v>
      </c>
      <c r="K434" s="1">
        <v>98.5</v>
      </c>
      <c r="L434" s="1">
        <v>110.4</v>
      </c>
      <c r="M434" t="s">
        <v>34</v>
      </c>
      <c r="N434" s="5" t="s">
        <v>2</v>
      </c>
    </row>
    <row r="435" spans="1:14">
      <c r="A435" s="4">
        <v>1433</v>
      </c>
      <c r="B435" s="5" t="s">
        <v>460</v>
      </c>
      <c r="C435" s="5" t="s">
        <v>453</v>
      </c>
      <c r="D435" s="5" t="s">
        <v>57</v>
      </c>
      <c r="E435" s="1">
        <v>10.5</v>
      </c>
      <c r="F435" s="1">
        <v>13.8</v>
      </c>
      <c r="G435" s="1">
        <v>11.8</v>
      </c>
      <c r="H435" s="8" t="str">
        <f t="shared" ref="H435:H441" si="21">IF(D435="ELÉCTRICO","km/kwh",IF(OR(D435="GASOLINA",D435="HIBRIDO",D435="DIESEL"),"km/l","N/D"))</f>
        <v>km/l</v>
      </c>
      <c r="I435" s="2" cm="1">
        <f t="array" ref="I435">_xlfn.IFS(D435="GASOLINA",24,D435="HIBRIDO",24,D435="ELÉCTRICO",5,D435="DIESEL",27)</f>
        <v>27</v>
      </c>
      <c r="J435" s="1">
        <v>256</v>
      </c>
      <c r="K435" s="1">
        <v>195</v>
      </c>
      <c r="L435" s="1">
        <v>228</v>
      </c>
      <c r="M435" t="s">
        <v>34</v>
      </c>
      <c r="N435" s="5" t="s">
        <v>2</v>
      </c>
    </row>
    <row r="436" spans="1:14">
      <c r="A436" s="4">
        <v>1434</v>
      </c>
      <c r="B436" s="5" t="s">
        <v>460</v>
      </c>
      <c r="C436" s="5" t="s">
        <v>454</v>
      </c>
      <c r="D436" s="5" t="s">
        <v>57</v>
      </c>
      <c r="E436" s="1">
        <v>10.5</v>
      </c>
      <c r="F436" s="1">
        <v>13.8</v>
      </c>
      <c r="G436" s="1">
        <v>11.8</v>
      </c>
      <c r="H436" s="8" t="str">
        <f t="shared" si="21"/>
        <v>km/l</v>
      </c>
      <c r="I436" s="2" cm="1">
        <f t="array" ref="I436">_xlfn.IFS(D436="GASOLINA",24,D436="HIBRIDO",24,D436="ELÉCTRICO",5,D436="DIESEL",27)</f>
        <v>27</v>
      </c>
      <c r="J436" s="1">
        <v>256</v>
      </c>
      <c r="K436" s="1">
        <v>195</v>
      </c>
      <c r="L436" s="1">
        <v>228</v>
      </c>
      <c r="M436" t="s">
        <v>34</v>
      </c>
      <c r="N436" s="5" t="s">
        <v>2</v>
      </c>
    </row>
    <row r="437" spans="1:14">
      <c r="A437" s="4">
        <v>1435</v>
      </c>
      <c r="B437" s="5" t="s">
        <v>460</v>
      </c>
      <c r="C437" s="5" t="s">
        <v>455</v>
      </c>
      <c r="D437" s="5" t="s">
        <v>57</v>
      </c>
      <c r="E437" s="1">
        <v>10.6</v>
      </c>
      <c r="F437" s="1">
        <v>13.3</v>
      </c>
      <c r="G437" s="1">
        <v>11.7</v>
      </c>
      <c r="H437" s="8" t="str">
        <f t="shared" si="21"/>
        <v>km/l</v>
      </c>
      <c r="I437" s="2" cm="1">
        <f t="array" ref="I437">_xlfn.IFS(D437="GASOLINA",24,D437="HIBRIDO",24,D437="ELÉCTRICO",5,D437="DIESEL",27)</f>
        <v>27</v>
      </c>
      <c r="J437" s="1">
        <v>253</v>
      </c>
      <c r="K437" s="1">
        <v>202</v>
      </c>
      <c r="L437" s="1">
        <v>230</v>
      </c>
      <c r="M437" t="s">
        <v>34</v>
      </c>
      <c r="N437" s="5" t="s">
        <v>2</v>
      </c>
    </row>
    <row r="438" spans="1:14">
      <c r="A438" s="4">
        <v>1436</v>
      </c>
      <c r="B438" s="5" t="s">
        <v>460</v>
      </c>
      <c r="C438" s="5" t="s">
        <v>456</v>
      </c>
      <c r="D438" s="5" t="s">
        <v>57</v>
      </c>
      <c r="E438" s="1">
        <v>18.2</v>
      </c>
      <c r="F438" s="1">
        <v>26.6</v>
      </c>
      <c r="G438" s="1">
        <v>21.2</v>
      </c>
      <c r="H438" s="8" t="str">
        <f t="shared" si="21"/>
        <v>km/l</v>
      </c>
      <c r="I438" s="2" cm="1">
        <f t="array" ref="I438">_xlfn.IFS(D438="GASOLINA",24,D438="HIBRIDO",24,D438="ELÉCTRICO",5,D438="DIESEL",27)</f>
        <v>27</v>
      </c>
      <c r="J438" s="1">
        <v>148</v>
      </c>
      <c r="K438" s="1">
        <v>101</v>
      </c>
      <c r="L438" s="1">
        <v>126</v>
      </c>
      <c r="M438" t="s">
        <v>34</v>
      </c>
      <c r="N438" s="5" t="s">
        <v>2</v>
      </c>
    </row>
    <row r="439" spans="1:14">
      <c r="A439" s="4">
        <v>1437</v>
      </c>
      <c r="B439" s="5" t="s">
        <v>460</v>
      </c>
      <c r="C439" s="5" t="s">
        <v>457</v>
      </c>
      <c r="D439" s="5" t="s">
        <v>57</v>
      </c>
      <c r="E439" s="1">
        <v>18.2</v>
      </c>
      <c r="F439" s="1">
        <v>26.6</v>
      </c>
      <c r="G439" s="1">
        <v>21.2</v>
      </c>
      <c r="H439" s="8" t="str">
        <f t="shared" si="21"/>
        <v>km/l</v>
      </c>
      <c r="I439" s="2" cm="1">
        <f t="array" ref="I439">_xlfn.IFS(D439="GASOLINA",24,D439="HIBRIDO",24,D439="ELÉCTRICO",5,D439="DIESEL",27)</f>
        <v>27</v>
      </c>
      <c r="J439" s="1">
        <v>148</v>
      </c>
      <c r="K439" s="1">
        <v>101</v>
      </c>
      <c r="L439" s="1">
        <v>126</v>
      </c>
      <c r="M439" t="s">
        <v>34</v>
      </c>
      <c r="N439" s="5" t="s">
        <v>2</v>
      </c>
    </row>
    <row r="440" spans="1:14">
      <c r="A440" s="4">
        <v>1438</v>
      </c>
      <c r="B440" s="5" t="s">
        <v>460</v>
      </c>
      <c r="C440" s="5" t="s">
        <v>458</v>
      </c>
      <c r="D440" s="5" t="s">
        <v>1</v>
      </c>
      <c r="E440" s="1">
        <v>11.9</v>
      </c>
      <c r="F440" s="1">
        <v>17.8</v>
      </c>
      <c r="G440" s="1">
        <v>14</v>
      </c>
      <c r="H440" s="8" t="str">
        <f t="shared" si="21"/>
        <v>km/l</v>
      </c>
      <c r="I440" s="2" cm="1">
        <f t="array" ref="I440">_xlfn.IFS(D440="GASOLINA",24,D440="HIBRIDO",24,D440="ELÉCTRICO",5,D440="DIESEL",27)</f>
        <v>24</v>
      </c>
      <c r="J440" s="1">
        <v>197</v>
      </c>
      <c r="K440" s="1">
        <v>132</v>
      </c>
      <c r="L440" s="1">
        <v>167</v>
      </c>
      <c r="M440" t="s">
        <v>34</v>
      </c>
      <c r="N440" s="5" t="s">
        <v>2</v>
      </c>
    </row>
    <row r="441" spans="1:14">
      <c r="A441" s="4">
        <v>1439</v>
      </c>
      <c r="B441" s="5" t="s">
        <v>460</v>
      </c>
      <c r="C441" s="5" t="s">
        <v>459</v>
      </c>
      <c r="D441" s="5" t="s">
        <v>1</v>
      </c>
      <c r="E441" s="1">
        <v>11.9</v>
      </c>
      <c r="F441" s="1">
        <v>17.8</v>
      </c>
      <c r="G441" s="1">
        <v>14</v>
      </c>
      <c r="H441" s="8" t="str">
        <f t="shared" si="21"/>
        <v>km/l</v>
      </c>
      <c r="I441" s="2" cm="1">
        <f t="array" ref="I441">_xlfn.IFS(D441="GASOLINA",24,D441="HIBRIDO",24,D441="ELÉCTRICO",5,D441="DIESEL",27)</f>
        <v>24</v>
      </c>
      <c r="J441" s="1">
        <v>197</v>
      </c>
      <c r="K441" s="1">
        <v>132</v>
      </c>
      <c r="L441" s="1">
        <v>167</v>
      </c>
      <c r="M441" t="s">
        <v>34</v>
      </c>
      <c r="N441" s="5" t="s">
        <v>2</v>
      </c>
    </row>
    <row r="442" spans="1:14">
      <c r="A442" s="4">
        <v>1440</v>
      </c>
      <c r="B442" s="5" t="s">
        <v>460</v>
      </c>
      <c r="C442" s="5" t="s">
        <v>464</v>
      </c>
      <c r="D442" s="5" t="s">
        <v>1</v>
      </c>
      <c r="E442" s="1">
        <v>10.1</v>
      </c>
      <c r="F442" s="1">
        <v>14.1</v>
      </c>
      <c r="G442" s="1">
        <v>11.6</v>
      </c>
      <c r="H442" s="8" t="str">
        <f t="shared" ref="H442:H461" si="22">IF(D442="ELÉCTRICO","km/kwh",IF(OR(D442="GASOLINA",D442="HIBRIDO",D442="DIESEL"),"km/l","N/D"))</f>
        <v>km/l</v>
      </c>
      <c r="I442" s="2" cm="1">
        <f t="array" ref="I442">_xlfn.IFS(D442="GASOLINA",24,D442="HIBRIDO",24,D442="ELÉCTRICO",5,D442="DIESEL",27)</f>
        <v>24</v>
      </c>
      <c r="J442" s="1">
        <v>232</v>
      </c>
      <c r="K442" s="1">
        <v>166</v>
      </c>
      <c r="L442" s="1">
        <v>202</v>
      </c>
      <c r="M442" t="s">
        <v>34</v>
      </c>
      <c r="N442" s="5" t="s">
        <v>10</v>
      </c>
    </row>
    <row r="443" spans="1:14">
      <c r="A443" s="4">
        <v>1441</v>
      </c>
      <c r="B443" s="5" t="s">
        <v>460</v>
      </c>
      <c r="C443" s="5" t="s">
        <v>465</v>
      </c>
      <c r="D443" s="5" t="s">
        <v>1</v>
      </c>
      <c r="E443" s="1">
        <v>10.8</v>
      </c>
      <c r="F443" s="1">
        <v>14.6</v>
      </c>
      <c r="G443" s="1">
        <v>12.2</v>
      </c>
      <c r="H443" s="8" t="str">
        <f t="shared" si="22"/>
        <v>km/l</v>
      </c>
      <c r="I443" s="2" cm="1">
        <f t="array" ref="I443">_xlfn.IFS(D443="GASOLINA",24,D443="HIBRIDO",24,D443="ELÉCTRICO",5,D443="DIESEL",27)</f>
        <v>24</v>
      </c>
      <c r="J443" s="1">
        <v>218</v>
      </c>
      <c r="K443" s="1">
        <v>160</v>
      </c>
      <c r="L443" s="1">
        <v>192</v>
      </c>
      <c r="M443" t="s">
        <v>34</v>
      </c>
      <c r="N443" s="5" t="s">
        <v>10</v>
      </c>
    </row>
    <row r="444" spans="1:14">
      <c r="A444" s="4">
        <v>1442</v>
      </c>
      <c r="B444" s="5" t="s">
        <v>460</v>
      </c>
      <c r="C444" s="5" t="s">
        <v>466</v>
      </c>
      <c r="D444" s="5" t="s">
        <v>1</v>
      </c>
      <c r="E444" s="1">
        <v>10.199999999999999</v>
      </c>
      <c r="F444" s="1">
        <v>14.6</v>
      </c>
      <c r="G444" s="1">
        <v>11.8</v>
      </c>
      <c r="H444" s="8" t="str">
        <f t="shared" si="22"/>
        <v>km/l</v>
      </c>
      <c r="I444" s="2" cm="1">
        <f t="array" ref="I444">_xlfn.IFS(D444="GASOLINA",24,D444="HIBRIDO",24,D444="ELÉCTRICO",5,D444="DIESEL",27)</f>
        <v>24</v>
      </c>
      <c r="J444" s="1">
        <v>230</v>
      </c>
      <c r="K444" s="1">
        <v>160</v>
      </c>
      <c r="L444" s="1">
        <v>198</v>
      </c>
      <c r="M444" t="s">
        <v>34</v>
      </c>
      <c r="N444" s="5" t="s">
        <v>10</v>
      </c>
    </row>
    <row r="445" spans="1:14">
      <c r="A445" s="4">
        <v>1443</v>
      </c>
      <c r="B445" s="5" t="s">
        <v>460</v>
      </c>
      <c r="C445" s="5" t="s">
        <v>467</v>
      </c>
      <c r="D445" s="5" t="s">
        <v>1</v>
      </c>
      <c r="E445" s="1">
        <v>10</v>
      </c>
      <c r="F445" s="1">
        <v>14.3</v>
      </c>
      <c r="G445" s="1">
        <v>11.6</v>
      </c>
      <c r="H445" s="8" t="str">
        <f t="shared" si="22"/>
        <v>km/l</v>
      </c>
      <c r="I445" s="2" cm="1">
        <f t="array" ref="I445">_xlfn.IFS(D445="GASOLINA",24,D445="HIBRIDO",24,D445="ELÉCTRICO",5,D445="DIESEL",27)</f>
        <v>24</v>
      </c>
      <c r="J445" s="1">
        <v>234</v>
      </c>
      <c r="K445" s="1">
        <v>164</v>
      </c>
      <c r="L445" s="1">
        <v>202</v>
      </c>
      <c r="M445" t="s">
        <v>34</v>
      </c>
      <c r="N445" s="5" t="s">
        <v>10</v>
      </c>
    </row>
    <row r="446" spans="1:14">
      <c r="A446" s="4">
        <v>1444</v>
      </c>
      <c r="B446" s="5" t="s">
        <v>460</v>
      </c>
      <c r="C446" s="5" t="s">
        <v>468</v>
      </c>
      <c r="D446" s="5" t="s">
        <v>1</v>
      </c>
      <c r="E446" s="1">
        <v>16.2</v>
      </c>
      <c r="F446" s="1">
        <v>23.5</v>
      </c>
      <c r="G446" s="1">
        <v>18.8</v>
      </c>
      <c r="H446" s="8" t="str">
        <f t="shared" si="22"/>
        <v>km/l</v>
      </c>
      <c r="I446" s="2" cm="1">
        <f t="array" ref="I446">_xlfn.IFS(D446="GASOLINA",24,D446="HIBRIDO",24,D446="ELÉCTRICO",5,D446="DIESEL",27)</f>
        <v>24</v>
      </c>
      <c r="J446" s="1">
        <v>145</v>
      </c>
      <c r="K446" s="1">
        <v>100</v>
      </c>
      <c r="L446" s="1">
        <v>125</v>
      </c>
      <c r="M446" t="s">
        <v>34</v>
      </c>
      <c r="N446" s="5" t="s">
        <v>10</v>
      </c>
    </row>
    <row r="447" spans="1:14">
      <c r="A447" s="4">
        <v>1445</v>
      </c>
      <c r="B447" s="5" t="s">
        <v>460</v>
      </c>
      <c r="C447" s="5" t="s">
        <v>469</v>
      </c>
      <c r="D447" s="5" t="s">
        <v>1</v>
      </c>
      <c r="E447" s="1">
        <v>15.1</v>
      </c>
      <c r="F447" s="1">
        <v>22.1</v>
      </c>
      <c r="G447" s="1">
        <v>17.600000000000001</v>
      </c>
      <c r="H447" s="8" t="str">
        <f t="shared" si="22"/>
        <v>km/l</v>
      </c>
      <c r="I447" s="2" cm="1">
        <f t="array" ref="I447">_xlfn.IFS(D447="GASOLINA",24,D447="HIBRIDO",24,D447="ELÉCTRICO",5,D447="DIESEL",27)</f>
        <v>24</v>
      </c>
      <c r="J447" s="1">
        <v>155</v>
      </c>
      <c r="K447" s="1">
        <v>106</v>
      </c>
      <c r="L447" s="1">
        <v>133</v>
      </c>
      <c r="M447" t="s">
        <v>354</v>
      </c>
      <c r="N447" s="5" t="s">
        <v>10</v>
      </c>
    </row>
    <row r="448" spans="1:14">
      <c r="A448" s="4">
        <v>1446</v>
      </c>
      <c r="B448" s="5" t="s">
        <v>460</v>
      </c>
      <c r="C448" s="5" t="s">
        <v>470</v>
      </c>
      <c r="D448" s="5" t="s">
        <v>1</v>
      </c>
      <c r="E448" s="1">
        <v>15.2</v>
      </c>
      <c r="F448" s="1">
        <v>21.3</v>
      </c>
      <c r="G448" s="1">
        <v>17.5</v>
      </c>
      <c r="H448" s="8" t="str">
        <f t="shared" si="22"/>
        <v>km/l</v>
      </c>
      <c r="I448" s="2" cm="1">
        <f t="array" ref="I448">_xlfn.IFS(D448="GASOLINA",24,D448="HIBRIDO",24,D448="ELÉCTRICO",5,D448="DIESEL",27)</f>
        <v>24</v>
      </c>
      <c r="J448" s="1">
        <v>154</v>
      </c>
      <c r="K448" s="1">
        <v>110</v>
      </c>
      <c r="L448" s="1">
        <v>134</v>
      </c>
      <c r="M448" t="s">
        <v>354</v>
      </c>
      <c r="N448" s="5" t="s">
        <v>10</v>
      </c>
    </row>
    <row r="449" spans="1:14">
      <c r="A449" s="4">
        <v>1447</v>
      </c>
      <c r="B449" s="5" t="s">
        <v>460</v>
      </c>
      <c r="C449" s="5" t="s">
        <v>471</v>
      </c>
      <c r="D449" s="5" t="s">
        <v>1</v>
      </c>
      <c r="E449" s="1">
        <v>15.7</v>
      </c>
      <c r="F449" s="1">
        <v>20.399999999999999</v>
      </c>
      <c r="G449" s="1">
        <v>17.5</v>
      </c>
      <c r="H449" s="8" t="str">
        <f t="shared" si="22"/>
        <v>km/l</v>
      </c>
      <c r="I449" s="2" cm="1">
        <f t="array" ref="I449">_xlfn.IFS(D449="GASOLINA",24,D449="HIBRIDO",24,D449="ELÉCTRICO",5,D449="DIESEL",27)</f>
        <v>24</v>
      </c>
      <c r="J449" s="1">
        <v>149</v>
      </c>
      <c r="K449" s="1">
        <v>115</v>
      </c>
      <c r="L449" s="1">
        <v>134</v>
      </c>
      <c r="M449" t="s">
        <v>354</v>
      </c>
      <c r="N449" s="5" t="s">
        <v>10</v>
      </c>
    </row>
    <row r="450" spans="1:14">
      <c r="A450" s="4">
        <v>1448</v>
      </c>
      <c r="B450" s="5" t="s">
        <v>460</v>
      </c>
      <c r="C450" s="5" t="s">
        <v>472</v>
      </c>
      <c r="D450" s="5" t="s">
        <v>1</v>
      </c>
      <c r="E450" s="1">
        <v>15.8</v>
      </c>
      <c r="F450" s="1">
        <v>19.2</v>
      </c>
      <c r="G450" s="1">
        <v>17.2</v>
      </c>
      <c r="H450" s="8" t="str">
        <f t="shared" si="22"/>
        <v>km/l</v>
      </c>
      <c r="I450" s="2" cm="1">
        <f t="array" ref="I450">_xlfn.IFS(D450="GASOLINA",24,D450="HIBRIDO",24,D450="ELÉCTRICO",5,D450="DIESEL",27)</f>
        <v>24</v>
      </c>
      <c r="J450" s="1">
        <v>148</v>
      </c>
      <c r="K450" s="1">
        <v>121</v>
      </c>
      <c r="L450" s="1">
        <v>136</v>
      </c>
      <c r="M450" t="s">
        <v>34</v>
      </c>
      <c r="N450" s="5" t="s">
        <v>2</v>
      </c>
    </row>
    <row r="451" spans="1:14">
      <c r="A451" s="4">
        <v>1449</v>
      </c>
      <c r="B451" s="5" t="s">
        <v>460</v>
      </c>
      <c r="C451" s="5" t="s">
        <v>473</v>
      </c>
      <c r="D451" s="5" t="s">
        <v>1</v>
      </c>
      <c r="E451" s="1">
        <v>14.9</v>
      </c>
      <c r="F451" s="1">
        <v>20.5</v>
      </c>
      <c r="G451" s="1">
        <v>17</v>
      </c>
      <c r="H451" s="8" t="str">
        <f t="shared" si="22"/>
        <v>km/l</v>
      </c>
      <c r="I451" s="2" cm="1">
        <f t="array" ref="I451">_xlfn.IFS(D451="GASOLINA",24,D451="HIBRIDO",24,D451="ELÉCTRICO",5,D451="DIESEL",27)</f>
        <v>24</v>
      </c>
      <c r="J451" s="1">
        <v>157</v>
      </c>
      <c r="K451" s="1">
        <v>114</v>
      </c>
      <c r="L451" s="1">
        <v>138</v>
      </c>
      <c r="M451" t="s">
        <v>354</v>
      </c>
      <c r="N451" s="5" t="s">
        <v>10</v>
      </c>
    </row>
    <row r="452" spans="1:14">
      <c r="A452" s="4">
        <v>1450</v>
      </c>
      <c r="B452" s="5" t="s">
        <v>460</v>
      </c>
      <c r="C452" s="5" t="s">
        <v>474</v>
      </c>
      <c r="D452" s="5" t="s">
        <v>1</v>
      </c>
      <c r="E452" s="1">
        <v>14.6</v>
      </c>
      <c r="F452" s="1">
        <v>20.9</v>
      </c>
      <c r="G452" s="1">
        <v>16.8</v>
      </c>
      <c r="H452" s="8" t="str">
        <f t="shared" si="22"/>
        <v>km/l</v>
      </c>
      <c r="I452" s="2" cm="1">
        <f t="array" ref="I452">_xlfn.IFS(D452="GASOLINA",24,D452="HIBRIDO",24,D452="ELÉCTRICO",5,D452="DIESEL",27)</f>
        <v>24</v>
      </c>
      <c r="J452" s="1">
        <v>161</v>
      </c>
      <c r="K452" s="1">
        <v>112</v>
      </c>
      <c r="L452" s="1">
        <v>139</v>
      </c>
      <c r="M452" t="s">
        <v>34</v>
      </c>
      <c r="N452" s="5" t="s">
        <v>10</v>
      </c>
    </row>
    <row r="453" spans="1:14">
      <c r="A453" s="4">
        <v>1451</v>
      </c>
      <c r="B453" s="5" t="s">
        <v>460</v>
      </c>
      <c r="C453" s="5" t="s">
        <v>461</v>
      </c>
      <c r="D453" s="5" t="s">
        <v>1</v>
      </c>
      <c r="E453" s="1">
        <v>15</v>
      </c>
      <c r="F453" s="1">
        <v>19.600000000000001</v>
      </c>
      <c r="G453" s="1">
        <v>16.8</v>
      </c>
      <c r="H453" s="8" t="str">
        <f t="shared" si="22"/>
        <v>km/l</v>
      </c>
      <c r="I453" s="2" cm="1">
        <f t="array" ref="I453">_xlfn.IFS(D453="GASOLINA",24,D453="HIBRIDO",24,D453="ELÉCTRICO",5,D453="DIESEL",27)</f>
        <v>24</v>
      </c>
      <c r="J453" s="1">
        <v>156</v>
      </c>
      <c r="K453" s="1">
        <v>119</v>
      </c>
      <c r="L453" s="1">
        <v>140</v>
      </c>
      <c r="M453" t="s">
        <v>354</v>
      </c>
      <c r="N453" s="5" t="s">
        <v>10</v>
      </c>
    </row>
    <row r="454" spans="1:14">
      <c r="A454" s="4">
        <v>1452</v>
      </c>
      <c r="B454" s="5" t="s">
        <v>460</v>
      </c>
      <c r="C454" s="5" t="s">
        <v>462</v>
      </c>
      <c r="D454" s="5" t="s">
        <v>1</v>
      </c>
      <c r="E454" s="1">
        <v>14.9</v>
      </c>
      <c r="F454" s="1">
        <v>19.600000000000001</v>
      </c>
      <c r="G454" s="1">
        <v>16.7</v>
      </c>
      <c r="H454" s="8" t="str">
        <f t="shared" si="22"/>
        <v>km/l</v>
      </c>
      <c r="I454" s="2" cm="1">
        <f t="array" ref="I454">_xlfn.IFS(D454="GASOLINA",24,D454="HIBRIDO",24,D454="ELÉCTRICO",5,D454="DIESEL",27)</f>
        <v>24</v>
      </c>
      <c r="J454" s="1">
        <v>157</v>
      </c>
      <c r="K454" s="1">
        <v>119</v>
      </c>
      <c r="L454" s="1">
        <v>140</v>
      </c>
      <c r="M454" t="s">
        <v>34</v>
      </c>
      <c r="N454" s="5" t="s">
        <v>2</v>
      </c>
    </row>
    <row r="455" spans="1:14">
      <c r="A455" s="4">
        <v>1453</v>
      </c>
      <c r="B455" s="5" t="s">
        <v>460</v>
      </c>
      <c r="C455" s="5" t="s">
        <v>475</v>
      </c>
      <c r="D455" s="5" t="s">
        <v>1</v>
      </c>
      <c r="E455" s="1">
        <v>14.2</v>
      </c>
      <c r="F455" s="1">
        <v>20.9</v>
      </c>
      <c r="G455" s="1">
        <v>16.600000000000001</v>
      </c>
      <c r="H455" s="8" t="str">
        <f t="shared" si="22"/>
        <v>km/l</v>
      </c>
      <c r="I455" s="2" cm="1">
        <f t="array" ref="I455">_xlfn.IFS(D455="GASOLINA",24,D455="HIBRIDO",24,D455="ELÉCTRICO",5,D455="DIESEL",27)</f>
        <v>24</v>
      </c>
      <c r="J455" s="1">
        <v>165</v>
      </c>
      <c r="K455" s="1">
        <v>112</v>
      </c>
      <c r="L455" s="1">
        <v>141</v>
      </c>
      <c r="M455" t="s">
        <v>34</v>
      </c>
      <c r="N455" s="5" t="s">
        <v>10</v>
      </c>
    </row>
    <row r="456" spans="1:14">
      <c r="A456" s="4">
        <v>1454</v>
      </c>
      <c r="B456" s="5" t="s">
        <v>460</v>
      </c>
      <c r="C456" s="5" t="s">
        <v>476</v>
      </c>
      <c r="D456" s="5" t="s">
        <v>1</v>
      </c>
      <c r="E456" s="1">
        <v>14.2</v>
      </c>
      <c r="F456" s="1">
        <v>20.6</v>
      </c>
      <c r="G456" s="1">
        <v>16.5</v>
      </c>
      <c r="H456" s="8" t="str">
        <f t="shared" si="22"/>
        <v>km/l</v>
      </c>
      <c r="I456" s="2" cm="1">
        <f t="array" ref="I456">_xlfn.IFS(D456="GASOLINA",24,D456="HIBRIDO",24,D456="ELÉCTRICO",5,D456="DIESEL",27)</f>
        <v>24</v>
      </c>
      <c r="J456" s="1">
        <v>165</v>
      </c>
      <c r="K456" s="1">
        <v>114</v>
      </c>
      <c r="L456" s="1">
        <v>142</v>
      </c>
      <c r="M456" t="s">
        <v>34</v>
      </c>
      <c r="N456" s="5" t="s">
        <v>2</v>
      </c>
    </row>
    <row r="457" spans="1:14">
      <c r="A457" s="4">
        <v>1455</v>
      </c>
      <c r="B457" s="5" t="s">
        <v>460</v>
      </c>
      <c r="C457" s="5" t="s">
        <v>463</v>
      </c>
      <c r="D457" s="5" t="s">
        <v>1</v>
      </c>
      <c r="E457" s="1">
        <v>14.5</v>
      </c>
      <c r="F457" s="1">
        <v>19.100000000000001</v>
      </c>
      <c r="G457" s="1">
        <v>16.3</v>
      </c>
      <c r="H457" s="8" t="str">
        <f t="shared" si="22"/>
        <v>km/l</v>
      </c>
      <c r="I457" s="2" cm="1">
        <f t="array" ref="I457">_xlfn.IFS(D457="GASOLINA",24,D457="HIBRIDO",24,D457="ELÉCTRICO",5,D457="DIESEL",27)</f>
        <v>24</v>
      </c>
      <c r="J457" s="1">
        <v>161</v>
      </c>
      <c r="K457" s="1">
        <v>122</v>
      </c>
      <c r="L457" s="1">
        <v>144</v>
      </c>
      <c r="M457" t="s">
        <v>34</v>
      </c>
      <c r="N457" s="5" t="s">
        <v>2</v>
      </c>
    </row>
    <row r="458" spans="1:14">
      <c r="A458" s="4">
        <v>1456</v>
      </c>
      <c r="B458" s="5" t="s">
        <v>460</v>
      </c>
      <c r="C458" s="5" t="s">
        <v>477</v>
      </c>
      <c r="D458" s="5" t="s">
        <v>1</v>
      </c>
      <c r="E458" s="1">
        <v>13.8</v>
      </c>
      <c r="F458" s="1">
        <v>20.2</v>
      </c>
      <c r="G458" s="1">
        <v>16.100000000000001</v>
      </c>
      <c r="H458" s="8" t="str">
        <f t="shared" si="22"/>
        <v>km/l</v>
      </c>
      <c r="I458" s="2" cm="1">
        <f t="array" ref="I458">_xlfn.IFS(D458="GASOLINA",24,D458="HIBRIDO",24,D458="ELÉCTRICO",5,D458="DIESEL",27)</f>
        <v>24</v>
      </c>
      <c r="J458" s="1">
        <v>170</v>
      </c>
      <c r="K458" s="1">
        <v>116</v>
      </c>
      <c r="L458" s="1">
        <v>145</v>
      </c>
      <c r="M458" t="s">
        <v>34</v>
      </c>
      <c r="N458" s="5" t="s">
        <v>10</v>
      </c>
    </row>
    <row r="459" spans="1:14">
      <c r="A459" s="4">
        <v>1457</v>
      </c>
      <c r="B459" s="5" t="s">
        <v>460</v>
      </c>
      <c r="C459" s="5" t="s">
        <v>478</v>
      </c>
      <c r="D459" s="5" t="s">
        <v>1</v>
      </c>
      <c r="E459" s="1">
        <v>14.3</v>
      </c>
      <c r="F459" s="1">
        <v>18.3</v>
      </c>
      <c r="G459" s="1">
        <v>15.9</v>
      </c>
      <c r="H459" s="8" t="str">
        <f t="shared" si="22"/>
        <v>km/l</v>
      </c>
      <c r="I459" s="2" cm="1">
        <f t="array" ref="I459">_xlfn.IFS(D459="GASOLINA",24,D459="HIBRIDO",24,D459="ELÉCTRICO",5,D459="DIESEL",27)</f>
        <v>24</v>
      </c>
      <c r="J459" s="1">
        <v>164</v>
      </c>
      <c r="K459" s="1">
        <v>128</v>
      </c>
      <c r="L459" s="1">
        <v>147</v>
      </c>
      <c r="M459" t="s">
        <v>34</v>
      </c>
      <c r="N459" s="5" t="s">
        <v>2</v>
      </c>
    </row>
    <row r="460" spans="1:14">
      <c r="A460" s="4">
        <v>1458</v>
      </c>
      <c r="B460" s="5" t="s">
        <v>460</v>
      </c>
      <c r="C460" s="5" t="s">
        <v>479</v>
      </c>
      <c r="D460" s="5" t="s">
        <v>1</v>
      </c>
      <c r="E460" s="1">
        <v>13.6</v>
      </c>
      <c r="F460" s="1">
        <v>18</v>
      </c>
      <c r="G460" s="1">
        <v>15.3</v>
      </c>
      <c r="H460" s="8" t="str">
        <f t="shared" si="22"/>
        <v>km/l</v>
      </c>
      <c r="I460" s="2" cm="1">
        <f t="array" ref="I460">_xlfn.IFS(D460="GASOLINA",24,D460="HIBRIDO",24,D460="ELÉCTRICO",5,D460="DIESEL",27)</f>
        <v>24</v>
      </c>
      <c r="J460" s="1">
        <v>173</v>
      </c>
      <c r="K460" s="1">
        <v>130</v>
      </c>
      <c r="L460" s="1">
        <v>153</v>
      </c>
      <c r="M460" t="s">
        <v>34</v>
      </c>
      <c r="N460" s="5" t="s">
        <v>10</v>
      </c>
    </row>
    <row r="461" spans="1:14">
      <c r="A461" s="4">
        <v>1459</v>
      </c>
      <c r="B461" s="5" t="s">
        <v>460</v>
      </c>
      <c r="C461" s="5" t="s">
        <v>480</v>
      </c>
      <c r="D461" s="5" t="s">
        <v>1</v>
      </c>
      <c r="E461" s="1">
        <v>12.9</v>
      </c>
      <c r="F461" s="1">
        <v>19.399999999999999</v>
      </c>
      <c r="G461" s="1">
        <v>15.2</v>
      </c>
      <c r="H461" s="8" t="str">
        <f t="shared" si="22"/>
        <v>km/l</v>
      </c>
      <c r="I461" s="2" cm="1">
        <f t="array" ref="I461">_xlfn.IFS(D461="GASOLINA",24,D461="HIBRIDO",24,D461="ELÉCTRICO",5,D461="DIESEL",27)</f>
        <v>24</v>
      </c>
      <c r="J461" s="1">
        <v>182</v>
      </c>
      <c r="K461" s="1">
        <v>121</v>
      </c>
      <c r="L461" s="1">
        <v>154</v>
      </c>
      <c r="M461" t="s">
        <v>34</v>
      </c>
      <c r="N461" s="5" t="s">
        <v>10</v>
      </c>
    </row>
    <row r="462" spans="1:14">
      <c r="A462" s="4">
        <v>1460</v>
      </c>
      <c r="B462" s="5" t="s">
        <v>481</v>
      </c>
      <c r="C462" s="5" t="s">
        <v>482</v>
      </c>
      <c r="D462" s="5" t="s">
        <v>15</v>
      </c>
      <c r="E462" s="1">
        <v>5.4</v>
      </c>
      <c r="F462" s="1">
        <v>5.4</v>
      </c>
      <c r="G462" s="1">
        <v>5.4</v>
      </c>
      <c r="H462" s="8" t="str">
        <f t="shared" ref="H462:H467" si="23">IF(D462="ELÉCTRICO","km/kwh",IF(OR(D462="GASOLINA",D462="HIBRIDO",D462="DIESEL"),"km/l","N/D"))</f>
        <v>km/kwh</v>
      </c>
      <c r="I462" s="2" cm="1">
        <f t="array" ref="I462">_xlfn.IFS(D462="GASOLINA",24,D462="HIBRIDO",24,D462="ELÉCTRICO",5,D462="DIESEL",27)</f>
        <v>5</v>
      </c>
      <c r="J462" s="1">
        <v>0</v>
      </c>
      <c r="K462" s="1">
        <v>0</v>
      </c>
      <c r="L462" s="1">
        <v>0</v>
      </c>
      <c r="M462" t="s">
        <v>89</v>
      </c>
      <c r="N462" s="5" t="s">
        <v>10</v>
      </c>
    </row>
    <row r="463" spans="1:14">
      <c r="A463" s="4">
        <v>1461</v>
      </c>
      <c r="B463" s="5" t="s">
        <v>481</v>
      </c>
      <c r="C463" s="5" t="s">
        <v>483</v>
      </c>
      <c r="D463" s="5" t="s">
        <v>15</v>
      </c>
      <c r="E463" s="1">
        <v>5.39</v>
      </c>
      <c r="F463" s="1">
        <v>5.39</v>
      </c>
      <c r="G463" s="1">
        <v>5.39</v>
      </c>
      <c r="H463" s="8" t="str">
        <f t="shared" si="23"/>
        <v>km/kwh</v>
      </c>
      <c r="I463" s="2" cm="1">
        <f t="array" ref="I463">_xlfn.IFS(D463="GASOLINA",24,D463="HIBRIDO",24,D463="ELÉCTRICO",5,D463="DIESEL",27)</f>
        <v>5</v>
      </c>
      <c r="J463" s="1">
        <v>0</v>
      </c>
      <c r="K463" s="1">
        <v>0</v>
      </c>
      <c r="L463" s="1">
        <v>0</v>
      </c>
      <c r="M463" t="s">
        <v>89</v>
      </c>
      <c r="N463" s="5" t="s">
        <v>10</v>
      </c>
    </row>
    <row r="464" spans="1:14">
      <c r="A464" s="4">
        <v>1462</v>
      </c>
      <c r="B464" s="5" t="s">
        <v>481</v>
      </c>
      <c r="C464" s="5" t="s">
        <v>484</v>
      </c>
      <c r="D464" s="5" t="s">
        <v>15</v>
      </c>
      <c r="E464" s="1">
        <v>4.22</v>
      </c>
      <c r="F464" s="1">
        <v>4.22</v>
      </c>
      <c r="G464" s="1">
        <v>4.22</v>
      </c>
      <c r="H464" s="8" t="str">
        <f t="shared" si="23"/>
        <v>km/kwh</v>
      </c>
      <c r="I464" s="2" cm="1">
        <f t="array" ref="I464">_xlfn.IFS(D464="GASOLINA",24,D464="HIBRIDO",24,D464="ELÉCTRICO",5,D464="DIESEL",27)</f>
        <v>5</v>
      </c>
      <c r="J464" s="1">
        <v>0</v>
      </c>
      <c r="K464" s="1">
        <v>0</v>
      </c>
      <c r="L464" s="1">
        <v>0</v>
      </c>
      <c r="M464" t="s">
        <v>89</v>
      </c>
      <c r="N464" s="5" t="s">
        <v>10</v>
      </c>
    </row>
    <row r="465" spans="1:14">
      <c r="A465" s="4">
        <v>1463</v>
      </c>
      <c r="B465" s="5" t="s">
        <v>481</v>
      </c>
      <c r="C465" s="5" t="s">
        <v>485</v>
      </c>
      <c r="D465" s="5" t="s">
        <v>17</v>
      </c>
      <c r="E465" s="1">
        <v>15.73</v>
      </c>
      <c r="F465" s="1">
        <v>17.850000000000001</v>
      </c>
      <c r="G465" s="1">
        <v>16.64</v>
      </c>
      <c r="H465" s="8" t="str">
        <f t="shared" si="23"/>
        <v>km/l</v>
      </c>
      <c r="I465" s="2" cm="1">
        <f t="array" ref="I465">_xlfn.IFS(D465="GASOLINA",24,D465="HIBRIDO",24,D465="ELÉCTRICO",5,D465="DIESEL",27)</f>
        <v>24</v>
      </c>
      <c r="J465" s="1">
        <v>24</v>
      </c>
      <c r="K465" s="1">
        <v>68</v>
      </c>
      <c r="L465" s="1">
        <v>44</v>
      </c>
      <c r="M465" t="s">
        <v>34</v>
      </c>
      <c r="N465" s="5" t="s">
        <v>10</v>
      </c>
    </row>
    <row r="466" spans="1:14">
      <c r="A466" s="4">
        <v>1464</v>
      </c>
      <c r="B466" s="5" t="s">
        <v>481</v>
      </c>
      <c r="C466" s="5" t="s">
        <v>486</v>
      </c>
      <c r="D466" s="5" t="s">
        <v>15</v>
      </c>
      <c r="E466" s="1">
        <v>5.3</v>
      </c>
      <c r="F466" s="1">
        <v>5.3</v>
      </c>
      <c r="G466" s="1">
        <v>5.3</v>
      </c>
      <c r="H466" s="8" t="str">
        <f t="shared" si="23"/>
        <v>km/kwh</v>
      </c>
      <c r="I466" s="2" cm="1">
        <f t="array" ref="I466">_xlfn.IFS(D466="GASOLINA",24,D466="HIBRIDO",24,D466="ELÉCTRICO",5,D466="DIESEL",27)</f>
        <v>5</v>
      </c>
      <c r="J466" s="1">
        <v>0</v>
      </c>
      <c r="K466" s="1">
        <v>0</v>
      </c>
      <c r="L466" s="1">
        <v>0</v>
      </c>
      <c r="M466" t="s">
        <v>89</v>
      </c>
      <c r="N466" s="5" t="s">
        <v>10</v>
      </c>
    </row>
    <row r="467" spans="1:14">
      <c r="A467" s="4">
        <v>1465</v>
      </c>
      <c r="B467" s="5" t="s">
        <v>481</v>
      </c>
      <c r="C467" s="5" t="s">
        <v>487</v>
      </c>
      <c r="D467" s="5" t="s">
        <v>17</v>
      </c>
      <c r="E467" s="1">
        <v>14.88</v>
      </c>
      <c r="F467" s="1">
        <v>16.41</v>
      </c>
      <c r="G467" s="1">
        <v>15.59</v>
      </c>
      <c r="H467" s="8" t="str">
        <f t="shared" si="23"/>
        <v>km/l</v>
      </c>
      <c r="I467" s="2" cm="1">
        <f t="array" ref="I467">_xlfn.IFS(D467="GASOLINA",24,D467="HIBRIDO",24,D467="ELÉCTRICO",5,D467="DIESEL",27)</f>
        <v>24</v>
      </c>
      <c r="J467" s="1">
        <v>24</v>
      </c>
      <c r="K467" s="1">
        <v>73</v>
      </c>
      <c r="L467" s="1">
        <v>46</v>
      </c>
      <c r="M467" t="s">
        <v>34</v>
      </c>
      <c r="N467" s="5" t="s">
        <v>10</v>
      </c>
    </row>
  </sheetData>
  <autoFilter ref="A1:N467" xr:uid="{A232FCAF-57AF-48D3-A471-F164554703F2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D69DBB-1CE4-4AA3-B645-5F7B897C8D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dim_vehiculo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Juarez Calixto - Alumno</dc:creator>
  <cp:lastModifiedBy>Fernando Juarez Calixto - Alumno</cp:lastModifiedBy>
  <dcterms:created xsi:type="dcterms:W3CDTF">2026-09-09T14:39:57Z</dcterms:created>
  <dcterms:modified xsi:type="dcterms:W3CDTF">2026-09-11T18:19:55Z</dcterms:modified>
</cp:coreProperties>
</file>